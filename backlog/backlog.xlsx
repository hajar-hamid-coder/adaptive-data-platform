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re_Execution" sheetId="1" state="visible" r:id="rId3"/>
    <sheet name="P0_Fondations" sheetId="2" state="visible" r:id="rId4"/>
    <sheet name="P1_Ingestion_Bronze" sheetId="3" state="visible" r:id="rId5"/>
    <sheet name="P2_Schema_Evolution" sheetId="4" state="visible" r:id="rId6"/>
    <sheet name="P3_Mapping_Silver" sheetId="5" state="visible" r:id="rId7"/>
    <sheet name="P4_Qualite_Quarantaine" sheetId="6" state="visible" r:id="rId8"/>
    <sheet name="P5_Gold_API_UI" sheetId="7" state="visible" r:id="rId9"/>
    <sheet name="P6_Observabilite_Optim" sheetId="8" state="visible" r:id="rId10"/>
    <sheet name="P7_Portfolio_CV" sheetId="9" state="visible" r:id="rId11"/>
    <sheet name="Hypotheses" sheetId="10" state="visible" r:id="rId12"/>
    <sheet name="Legende" sheetId="11" state="visible" r:id="rId13"/>
  </sheets>
  <definedNames>
    <definedName function="false" hidden="true" localSheetId="1" name="_xlnm._FilterDatabase" vbProcedure="false">P0_Fondations!$A$1:$M$8</definedName>
    <definedName function="false" hidden="true" localSheetId="2" name="_xlnm._FilterDatabase" vbProcedure="false">P1_Ingestion_Bronze!$A$1:$M$10</definedName>
    <definedName function="false" hidden="true" localSheetId="3" name="_xlnm._FilterDatabase" vbProcedure="false">P2_Schema_Evolution!$A$1:$M$8</definedName>
    <definedName function="false" hidden="true" localSheetId="4" name="_xlnm._FilterDatabase" vbProcedure="false">P3_Mapping_Silver!$A$1:$M$10</definedName>
    <definedName function="false" hidden="true" localSheetId="5" name="_xlnm._FilterDatabase" vbProcedure="false">P4_Qualite_Quarantaine!$A$1:$M$8</definedName>
    <definedName function="false" hidden="true" localSheetId="6" name="_xlnm._FilterDatabase" vbProcedure="false">P5_Gold_API_UI!$A$1:$M$9</definedName>
    <definedName function="false" hidden="true" localSheetId="7" name="_xlnm._FilterDatabase" vbProcedure="false">P6_Observabilite_Optim!$A$1:$M$10</definedName>
    <definedName function="false" hidden="true" localSheetId="8" name="_xlnm._FilterDatabase" vbProcedure="false">P7_Portfolio_CV!$A$1:$M$9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<sst xmlns="http://schemas.openxmlformats.org/spreadsheetml/2006/main" count="1077" uniqueCount="584">
  <si>
    <t xml:space="preserve">Plateforme de Données Intelligente et Évolutive — Backlog &amp; ordre d'exécution</t>
  </si>
  <si>
    <t xml:space="preserve">Statuts et modèles sont lus en direct depuis les feuilles de phase. Colonne « Gate utilisateur » : à passer à Oui uniquement par validation de phase.</t>
  </si>
  <si>
    <t xml:space="preserve">Phase</t>
  </si>
  <si>
    <t xml:space="preserve">Feuille</t>
  </si>
  <si>
    <t xml:space="preserve">Intitulé</t>
  </si>
  <si>
    <t xml:space="preserve">Objectif</t>
  </si>
  <si>
    <t xml:space="preserve">Modèle dominant</t>
  </si>
  <si>
    <t xml:space="preserve">Nb tâches</t>
  </si>
  <si>
    <t xml:space="preserve">Non fait</t>
  </si>
  <si>
    <t xml:space="preserve">En cours</t>
  </si>
  <si>
    <t xml:space="preserve">À valider</t>
  </si>
  <si>
    <t xml:space="preserve">Validé</t>
  </si>
  <si>
    <t xml:space="preserve">% validé</t>
  </si>
  <si>
    <t xml:space="preserve">Gate utilisateur</t>
  </si>
  <si>
    <t xml:space="preserve">Livrable portfolio</t>
  </si>
  <si>
    <t xml:space="preserve">P0</t>
  </si>
  <si>
    <t xml:space="preserve">P0_Fondations</t>
  </si>
  <si>
    <t xml:space="preserve">Fondations &amp; environnement Claude Code</t>
  </si>
  <si>
    <t xml:space="preserve">Repo propre, outillage, CI, Docker local, graphify, ADR d'architecture.</t>
  </si>
  <si>
    <t xml:space="preserve">Haiku/Sonnet</t>
  </si>
  <si>
    <t xml:space="preserve">Non</t>
  </si>
  <si>
    <t xml:space="preserve">Repo GitHub pro avec CI verte et ADR</t>
  </si>
  <si>
    <t xml:space="preserve">P1</t>
  </si>
  <si>
    <t xml:space="preserve">P1_Ingestion_Bronze</t>
  </si>
  <si>
    <t xml:space="preserve">Ingestion &amp; couche Bronze</t>
  </si>
  <si>
    <t xml:space="preserve">Connecteurs multi-sources, écriture Bronze immuable, rejets, simulateur de dérive.</t>
  </si>
  <si>
    <t xml:space="preserve">Sonnet</t>
  </si>
  <si>
    <t xml:space="preserve">Connecteurs + Bronze rejouable</t>
  </si>
  <si>
    <t xml:space="preserve">P2</t>
  </si>
  <si>
    <t xml:space="preserve">P2_Schema_Evolution</t>
  </si>
  <si>
    <t xml:space="preserve">Détection de schéma &amp; gestion des évolutions</t>
  </si>
  <si>
    <t xml:space="preserve">Registry versionné, diff de schémas, classification d'impact, politique d'évolution.</t>
  </si>
  <si>
    <t xml:space="preserve">Opus/Sonnet</t>
  </si>
  <si>
    <t xml:space="preserve">Moteur de schema evolution (différenciant CV)</t>
  </si>
  <si>
    <t xml:space="preserve">P3</t>
  </si>
  <si>
    <t xml:space="preserve">P3_Mapping_Silver</t>
  </si>
  <si>
    <t xml:space="preserve">Auto-mapping adaptatif &amp; couche Silver</t>
  </si>
  <si>
    <t xml:space="preserve">Mapping règles + LLM/RAG, revue humaine, transformations sûres, nettoyage, dédup, Silver.</t>
  </si>
  <si>
    <t xml:space="preserve">Auto-mapping évalué (précision/rappel)</t>
  </si>
  <si>
    <t xml:space="preserve">P4</t>
  </si>
  <si>
    <t xml:space="preserve">P4_Qualite_Quarantaine</t>
  </si>
  <si>
    <t xml:space="preserve">Qualité des données &amp; quarantaine</t>
  </si>
  <si>
    <t xml:space="preserve">Règles qualité, anomalies, scores, quarantaine dynamique, validation Silver→Gold.</t>
  </si>
  <si>
    <t xml:space="preserve">Sonnet/Opus</t>
  </si>
  <si>
    <t xml:space="preserve">Data quality framework + rapports</t>
  </si>
  <si>
    <t xml:space="preserve">P5</t>
  </si>
  <si>
    <t xml:space="preserve">P5_Gold_API_UI</t>
  </si>
  <si>
    <t xml:space="preserve">Gold, data products, API &amp; interface</t>
  </si>
  <si>
    <t xml:space="preserve">Data products avec contrat BIA, vues DuckDB, API FastAPI, catalogue, dashboard React.</t>
  </si>
  <si>
    <t xml:space="preserve">API + dashboard démontrables</t>
  </si>
  <si>
    <t xml:space="preserve">P6</t>
  </si>
  <si>
    <t xml:space="preserve">P6_Observabilite_Optim</t>
  </si>
  <si>
    <t xml:space="preserve">Observabilité, remédiation &amp; auto-optimisation</t>
  </si>
  <si>
    <t xml:space="preserve">Audit, alerting, auto-rejeu, optimisation par usage, sécurité, benchmarks.</t>
  </si>
  <si>
    <t xml:space="preserve">Plateforme self-healing mesurée</t>
  </si>
  <si>
    <t xml:space="preserve">P7</t>
  </si>
  <si>
    <t xml:space="preserve">P7_Portfolio_CV</t>
  </si>
  <si>
    <t xml:space="preserve">Portfolio, démo &amp; candidature</t>
  </si>
  <si>
    <t xml:space="preserve">README, doc, démo reproductible, vidéo, étude de cas BA/BIA, CV, release v1.0.</t>
  </si>
  <si>
    <t xml:space="preserve">Haiku/Sonnet/Opus</t>
  </si>
  <si>
    <t xml:space="preserve">Dossier de candidature complet</t>
  </si>
  <si>
    <t xml:space="preserve">TOTAL</t>
  </si>
  <si>
    <t xml:space="preserve">Ordre d'exécution (séquentiel — une phase à la fois, validée avant de lancer la suivante)</t>
  </si>
  <si>
    <t xml:space="preserve">Ordre</t>
  </si>
  <si>
    <t xml:space="preserve">ID</t>
  </si>
  <si>
    <t xml:space="preserve">Tâche</t>
  </si>
  <si>
    <t xml:space="preserve">Dépendances</t>
  </si>
  <si>
    <t xml:space="preserve">Modèle</t>
  </si>
  <si>
    <t xml:space="preserve">Statut</t>
  </si>
  <si>
    <t xml:space="preserve">Code à produire</t>
  </si>
  <si>
    <t xml:space="preserve">Explication &amp; compétence CV</t>
  </si>
  <si>
    <t xml:space="preserve">Test de validation</t>
  </si>
  <si>
    <t xml:space="preserve">Hypothèse</t>
  </si>
  <si>
    <t xml:space="preserve">Skills / plugins</t>
  </si>
  <si>
    <t xml:space="preserve">Preuve / notes Claude</t>
  </si>
  <si>
    <t xml:space="preserve">P0-01</t>
  </si>
  <si>
    <t xml:space="preserve">Structure du repo &amp; outillage Python</t>
  </si>
  <si>
    <t xml:space="preserve">Créer l'ossature du projet (src layout), gestion des dépendances et qualité de code.</t>
  </si>
  <si>
    <t xml:space="preserve">pyproject.toml (uv, ruff, mypy, pytest, openpyxl, duckdb, pydantic), src/adp/__init__.py, tests/test_smoke.py, Makefile (install, lint, test, demo), .pre-commit-config.yaml.</t>
  </si>
  <si>
    <t xml:space="preserve">Un repo reproductible en une commande est le premier signal de professionnalisme. Compétence : packaging Python moderne, tooling qualité.</t>
  </si>
  <si>
    <t xml:space="preserve">`uv sync &amp;&amp; make lint &amp;&amp; make test` → ruff sans erreur, 1 test smoke vert.</t>
  </si>
  <si>
    <t xml:space="preserve">Haiku</t>
  </si>
  <si>
    <t xml:space="preserve">—</t>
  </si>
  <si>
    <t xml:space="preserve">H-06</t>
  </si>
  <si>
    <t xml:space="preserve">ponytail</t>
  </si>
  <si>
    <t xml:space="preserve">P0-02</t>
  </si>
  <si>
    <t xml:space="preserve">Docker Compose local (MinIO, Postgres)</t>
  </si>
  <si>
    <t xml:space="preserve">Environnement local reproductible : stockage objet S3 et base de métadonnées.</t>
  </si>
  <si>
    <t xml:space="preserve">docker-compose.yml (minio, postgres, minio-init créant les buckets bronze/silver/gold), scripts/healthcheck.py, .env.example.</t>
  </si>
  <si>
    <t xml:space="preserve">Simule un data lake S3 localement sans coût cloud. Compétence : conteneurisation, infra as code.</t>
  </si>
  <si>
    <t xml:space="preserve">`docker compose up -d &amp;&amp; python scripts/healthcheck.py` → 3 buckets présents et Postgres répond (exit 0).</t>
  </si>
  <si>
    <t xml:space="preserve">H-04</t>
  </si>
  <si>
    <t xml:space="preserve">P0-03</t>
  </si>
  <si>
    <t xml:space="preserve">Configuration &amp; gestion des secrets</t>
  </si>
  <si>
    <t xml:space="preserve">Centraliser la config typée et garantir qu'aucun secret n'est commité.</t>
  </si>
  <si>
    <t xml:space="preserve">src/adp/config.py (pydantic-settings), .env.example complet, tests/test_config.py, hook pre-commit de détection de secrets.</t>
  </si>
  <si>
    <t xml:space="preserve">Séparation config/code (12-factor) et hygiène sécurité. Compétence : sécurité applicative, DevSecOps.</t>
  </si>
  <si>
    <t xml:space="preserve">`pytest tests/test_config.py` vert ; ajouter une fausse clé AKIA… dans un fichier → le pre-commit refuse le commit.</t>
  </si>
  <si>
    <t xml:space="preserve">P0-04</t>
  </si>
  <si>
    <t xml:space="preserve">Logging structuré &amp; modèle d'erreurs commun</t>
  </si>
  <si>
    <t xml:space="preserve">Logs JSON corrélés par run_id et hiérarchie d'exceptions du domaine.</t>
  </si>
  <si>
    <t xml:space="preserve">src/adp/logging.py (structlog), src/adp/errors.py (AdpError, SchemaError, QualityError, IngestionError), tests/test_logging.py.</t>
  </si>
  <si>
    <t xml:space="preserve">Base de l'observabilité (P6) : tout événement est traçable. Compétence : observabilité, design d'erreurs.</t>
  </si>
  <si>
    <t xml:space="preserve">`pytest tests/test_logging.py` → chaque ligne de log est du JSON valide contenant run_id, level, event.</t>
  </si>
  <si>
    <t xml:space="preserve">P0-05</t>
  </si>
  <si>
    <t xml:space="preserve">CI GitHub Actions</t>
  </si>
  <si>
    <t xml:space="preserve">Pipeline CI : lint, typage, tests, sur chaque push/PR.</t>
  </si>
  <si>
    <t xml:space="preserve">.github/workflows/ci.yml (matrix Python 3.12, cache uv), badge dans README.</t>
  </si>
  <si>
    <t xml:space="preserve">Démontre l'intégration continue. Compétence : CI/CD.</t>
  </si>
  <si>
    <t xml:space="preserve">Push d'une branche → workflow vert dans l'onglet Actions ; casser volontairement un test → workflow rouge.</t>
  </si>
  <si>
    <t xml:space="preserve">P0-06</t>
  </si>
  <si>
    <t xml:space="preserve">Installer graphify et cartographier le repo</t>
  </si>
  <si>
    <t xml:space="preserve">Générer le graphe de connaissance du projet pour réduire les tokens de contexte.</t>
  </si>
  <si>
    <t xml:space="preserve">scripts/setup_tools.sh (pip install graphifyy &amp;&amp; graphify install), graphify-out/ (GRAPH_REPORT.md, graph.json), règle dans CLAUDE.md pour lire GRAPH_REPORT.md avant d'explorer.</t>
  </si>
  <si>
    <t xml:space="preserve">Graphe de code interrogeable = navigation rapide et moins coûteuse. Compétence : outillage agentique, knowledge graph.</t>
  </si>
  <si>
    <t xml:space="preserve">`graphify .` produit GRAPH_REPORT.md non vide ; `git status` montre graph.json ignoré ou commité selon la décision H-07.</t>
  </si>
  <si>
    <t xml:space="preserve">H-07</t>
  </si>
  <si>
    <t xml:space="preserve">graphify</t>
  </si>
  <si>
    <t xml:space="preserve">P0-07</t>
  </si>
  <si>
    <t xml:space="preserve">ADR d'architecture fondatrices</t>
  </si>
  <si>
    <t xml:space="preserve">Documenter les décisions structurantes : médaillon, stockage, metadata store, orchestrateur, politique LLM.</t>
  </si>
  <si>
    <t xml:space="preserve">docs/adr/0001-medallion.md … 0006-llm-policy.md (contexte/décision/conséquences), docs/architecture.md avec diagramme Mermaid.</t>
  </si>
  <si>
    <t xml:space="preserve">Les ADR montrent le raisonnement d'un architecte, pas seulement du code. Compétence : architecture de données.</t>
  </si>
  <si>
    <t xml:space="preserve">`pytest tests/test_docs.py` : chaque ADR contient les 3 sections ; le diagramme Mermaid est rendu sur GitHub.</t>
  </si>
  <si>
    <t xml:space="preserve">Opus</t>
  </si>
  <si>
    <t xml:space="preserve">H-03, H-04</t>
  </si>
  <si>
    <t xml:space="preserve">ponytail, graphify</t>
  </si>
  <si>
    <t xml:space="preserve">P1-01</t>
  </si>
  <si>
    <t xml:space="preserve">Contrat de source &amp; registry de sources</t>
  </si>
  <si>
    <t xml:space="preserve">Décrire chaque source de façon déclarative.</t>
  </si>
  <si>
    <t xml:space="preserve">src/adp/sources/spec.py (SourceSpec pydantic : type, uri, auth ref, format, fréquence, clé), config/sources/*.yaml, loader + validation.</t>
  </si>
  <si>
    <t xml:space="preserve">Le contrat de source rend l'ajout d'une source déclaratif. Compétence : data contracts.</t>
  </si>
  <si>
    <t xml:space="preserve">`pytest tests/sources/test_spec.py` : un YAML valide charge, un YAML invalide lève SourceSpecError avec message clair.</t>
  </si>
  <si>
    <t xml:space="preserve">H-01</t>
  </si>
  <si>
    <t xml:space="preserve">P1-02</t>
  </si>
  <si>
    <t xml:space="preserve">Connecteur fichiers (CSV/Excel/JSON)</t>
  </si>
  <si>
    <t xml:space="preserve">Lire des fichiers hétérogènes avec détection auto d'encodage, délimiteur et feuille.</t>
  </si>
  <si>
    <t xml:space="preserve">src/adp/connectors/files.py (charset-normalizer, csv.Sniffer, openpyxl), fixtures dans tests/data/.</t>
  </si>
  <si>
    <t xml:space="preserve">Les fichiers sales sont la réalité du terrain. Compétence : ingestion robuste.</t>
  </si>
  <si>
    <t xml:space="preserve">`pytest tests/connectors/test_files.py` : CSV latin-1 `;`, CSV utf-8 `,`, XLSX multi-feuilles, JSON lines → DataFrame correct.</t>
  </si>
  <si>
    <t xml:space="preserve">P1-03</t>
  </si>
  <si>
    <t xml:space="preserve">Connecteur REST API</t>
  </si>
  <si>
    <t xml:space="preserve">Ingestion d'API paginées avec retry, backoff et limite de débit.</t>
  </si>
  <si>
    <t xml:space="preserve">src/adp/connectors/rest.py (httpx, tenacity), pagination page/offset/cursor, tests avec respx.</t>
  </si>
  <si>
    <t xml:space="preserve">Résilience réseau et pagination. Compétence : API ingestion.</t>
  </si>
  <si>
    <t xml:space="preserve">`pytest tests/connectors/test_rest.py` : 3 pages agrégées, 2 erreurs 503 puis succès (retry), 429 respecte Retry-After.</t>
  </si>
  <si>
    <t xml:space="preserve">P1-04</t>
  </si>
  <si>
    <t xml:space="preserve">Connecteur base de données (incrémental)</t>
  </si>
  <si>
    <t xml:space="preserve">Extraction SQL avec watermark pour ne lire que le nouveau.</t>
  </si>
  <si>
    <t xml:space="preserve">src/adp/connectors/sql.py (SQLAlchemy), table de watermarks, tests sur SQLite et Postgres de test.</t>
  </si>
  <si>
    <t xml:space="preserve">Chargement incrémental = coût et fraîcheur maîtrisés. Compétence : CDC léger.</t>
  </si>
  <si>
    <t xml:space="preserve">`pytest tests/connectors/test_sql.py` : 2e exécution sans nouvelle ligne → 0 ligne lue ; après insert de 5 lignes → 5 lues.</t>
  </si>
  <si>
    <t xml:space="preserve">P1-05</t>
  </si>
  <si>
    <t xml:space="preserve">Écriture Bronze immuable</t>
  </si>
  <si>
    <t xml:space="preserve">Persister le brut en Parquet sur MinIO avec métadonnées et idempotence.</t>
  </si>
  <si>
    <t xml:space="preserve">src/adp/bronze/writer.py : partition source/ingestion_date, colonnes techniques (_run_id, _ingested_at, _source, _row_hash), manifeste JSON, écriture atomique.</t>
  </si>
  <si>
    <t xml:space="preserve">Immuabilité + traçabilité = auditabilité. Compétence : lakehouse, idempotence.</t>
  </si>
  <si>
    <t xml:space="preserve">`pytest tests/bronze/test_writer.py` : rejouer le même lot ne crée pas de doublon ; le manifeste contient hash et nb lignes ; fichier jamais modifié après écriture.</t>
  </si>
  <si>
    <t xml:space="preserve">P1-02, P0-02</t>
  </si>
  <si>
    <t xml:space="preserve">P1-06</t>
  </si>
  <si>
    <t xml:space="preserve">Gestion des erreurs d'ingestion &amp; dead-letter</t>
  </si>
  <si>
    <t xml:space="preserve">Ne jamais perdre une ligne : les rejets sont stockés avec leur raison.</t>
  </si>
  <si>
    <t xml:space="preserve">src/adp/bronze/deadletter.py, schéma de rejet (raison, ligne brute, source, run_id), politique de retry.</t>
  </si>
  <si>
    <t xml:space="preserve">Pas de perte silencieuse de données. Compétence : fiabilité des pipelines.</t>
  </si>
  <si>
    <t xml:space="preserve">`pytest tests/bronze/test_deadletter.py` : fichier avec 3 lignes corrompues sur 100 → 97 en Bronze, 3 en dead-letter avec motif.</t>
  </si>
  <si>
    <t xml:space="preserve">P1-07</t>
  </si>
  <si>
    <t xml:space="preserve">Simulateur de dérive de schéma</t>
  </si>
  <si>
    <t xml:space="preserve">Générer des jeux v1→v2→v3 reproductibles (colonne ajoutée, renommée, type changé).</t>
  </si>
  <si>
    <t xml:space="preserve">scripts/drift_simulator.py (seed fixe), tests/data/drift/{v1,v2,v3}/, README du scénario de démo.</t>
  </si>
  <si>
    <t xml:space="preserve">Donne un banc d'essai déterministe pour P2/P3 et la démo. Compétence : data engineering de test.</t>
  </si>
  <si>
    <t xml:space="preserve">`python scripts/drift_simulator.py --seed 42` deux fois → fichiers identiques (hash égal) ; diff v1/v2 documenté.</t>
  </si>
  <si>
    <t xml:space="preserve">P1-08</t>
  </si>
  <si>
    <t xml:space="preserve">Archivage &amp; cycle de vie Bronze</t>
  </si>
  <si>
    <t xml:space="preserve">Règles de rétention et d'archivage configurables.</t>
  </si>
  <si>
    <t xml:space="preserve">src/adp/bronze/lifecycle.py, config/retention.yaml, commande CLI `adp bronze archive --dry-run`.</t>
  </si>
  <si>
    <t xml:space="preserve">Gouvernance et coûts de stockage. Compétence : data lifecycle.</t>
  </si>
  <si>
    <t xml:space="preserve">`pytest tests/bronze/test_lifecycle.py` : lots &gt; rétention archivés, récents intacts ; --dry-run ne modifie rien.</t>
  </si>
  <si>
    <t xml:space="preserve">P1-09</t>
  </si>
  <si>
    <t xml:space="preserve">Assets &amp; sensors Dagster d'ingestion</t>
  </si>
  <si>
    <t xml:space="preserve">Orchestrer l'ingestion avec Dagster (assets, partitions, sensors).</t>
  </si>
  <si>
    <t xml:space="preserve">src/adp/orchestration/ingestion.py, definitions.py, dagster.yaml, test de matérialisation.</t>
  </si>
  <si>
    <t xml:space="preserve">Orchestration déclarative avec lignage natif. Compétence : Dagster.</t>
  </si>
  <si>
    <t xml:space="preserve">`dagster asset materialize -m adp.orchestration` → asset Bronze matérialisé ; `pytest tests/orchestration` vert.</t>
  </si>
  <si>
    <t xml:space="preserve">P1-05, P1-06</t>
  </si>
  <si>
    <t xml:space="preserve">H-08</t>
  </si>
  <si>
    <t xml:space="preserve">P2-01</t>
  </si>
  <si>
    <t xml:space="preserve">Profilage &amp; empreinte de schéma</t>
  </si>
  <si>
    <t xml:space="preserve">Extraire pour chaque colonne : type inféré, nullabilité, cardinalité, stats, exemples.</t>
  </si>
  <si>
    <t xml:space="preserve">src/adp/schema/profile.py (ColumnProfile, SchemaFingerprint), inférence de type robuste (dates, nombres FR/EN).</t>
  </si>
  <si>
    <t xml:space="preserve">Le profil est l'entrée de la détection et du mapping. Compétence : data profiling.</t>
  </si>
  <si>
    <t xml:space="preserve">`pytest tests/schema/test_profile.py` : '12,5' et '12.5' → float ; '2024-01-31' et '31/01/2024' → date ; empreinte stable pour mêmes données.</t>
  </si>
  <si>
    <t xml:space="preserve">P2-02</t>
  </si>
  <si>
    <t xml:space="preserve">Schema registry versionné</t>
  </si>
  <si>
    <t xml:space="preserve">Stocker chaque version de schéma par source avec hash et versioning sémantique.</t>
  </si>
  <si>
    <t xml:space="preserve">src/adp/schema/registry.py (SQLAlchemy, tables schema_version, schema_change), migrations Alembic, API register/get/latest/history.</t>
  </si>
  <si>
    <t xml:space="preserve">Mémoire des schémas = base de toute évolution gouvernée. Compétence : metadata management.</t>
  </si>
  <si>
    <t xml:space="preserve">`pytest tests/schema/test_registry.py` : même schéma → même version (idempotent) ; changement → version+1 ; historique ordonné.</t>
  </si>
  <si>
    <t xml:space="preserve">P2-01, P0-02</t>
  </si>
  <si>
    <t xml:space="preserve">P2-03</t>
  </si>
  <si>
    <t xml:space="preserve">Moteur de diff de schémas</t>
  </si>
  <si>
    <t xml:space="preserve">Détecter ajout, suppression, changement de type et renommage probable (score de similarité).</t>
  </si>
  <si>
    <t xml:space="preserve">src/adp/schema/diff.py (SchemaDiff, ChangeKind), heuristique de renommage (nom + type + distribution), seuils configurables.</t>
  </si>
  <si>
    <t xml:space="preserve">Cœur différenciant : distinguer renommage vs suppression+ajout. Compétence : algorithmique de similarité.</t>
  </si>
  <si>
    <t xml:space="preserve">`pytest tests/schema/test_diff.py` sur v1→v2→v3 du simulateur : renommage détecté avec score ≥ seuil, 0 faux positif sur 20 cas témoins.</t>
  </si>
  <si>
    <t xml:space="preserve">P2-02, P1-07</t>
  </si>
  <si>
    <t xml:space="preserve">H-03</t>
  </si>
  <si>
    <t xml:space="preserve">P2-04</t>
  </si>
  <si>
    <t xml:space="preserve">Classification d'impact &amp; politique d'évolution</t>
  </si>
  <si>
    <t xml:space="preserve">Classer chaque changement : compatible / à revoir / bloquant, et définir l'action automatique.</t>
  </si>
  <si>
    <t xml:space="preserve">src/adp/schema/policy.py, config/evolution_policy.yaml (règles par ChangeKind), ChangeImpact enum.</t>
  </si>
  <si>
    <t xml:space="preserve">Traduit la technique en risque métier (lien BIA). Compétence : gouvernance, analyse d'impact.</t>
  </si>
  <si>
    <t xml:space="preserve">`pytest tests/schema/test_policy.py` : suppression de clé → BLOQUANT ; ajout de colonne nullable → COMPATIBLE ; widening int→float → COMPATIBLE.</t>
  </si>
  <si>
    <t xml:space="preserve">H-02</t>
  </si>
  <si>
    <t xml:space="preserve">P2-05</t>
  </si>
  <si>
    <t xml:space="preserve">Rapport d'évolution &amp; événements</t>
  </si>
  <si>
    <t xml:space="preserve">Produire un rapport lisible et émettre un événement à chaque changement.</t>
  </si>
  <si>
    <t xml:space="preserve">src/adp/schema/report.py (Markdown + JSON), bus d'événements interne (SchemaChanged).</t>
  </si>
  <si>
    <t xml:space="preserve">Rendre le changement visible aux humains et aux systèmes. Compétence : communication data.</t>
  </si>
  <si>
    <t xml:space="preserve">`pytest tests/schema/test_report.py` : rapport contient version avant/après, liste des changements, impact ; événement émis une seule fois.</t>
  </si>
  <si>
    <t xml:space="preserve">P2-06</t>
  </si>
  <si>
    <t xml:space="preserve">Intégration à l'ingestion (détection automatique)</t>
  </si>
  <si>
    <t xml:space="preserve">À chaque lot : profil → diff → politique ; bloquer ou continuer.</t>
  </si>
  <si>
    <t xml:space="preserve">src/adp/orchestration/schema_gate.py, asset Dagster schema_check entre Bronze et Silver.</t>
  </si>
  <si>
    <t xml:space="preserve">Automatisation bout en bout de la détection. Compétence : intégration de pipeline.</t>
  </si>
  <si>
    <t xml:space="preserve">Run Dagster sur v1 puis v2 → v2 passe avec rapport ; v3 (breaking) → arrêt propre avec statut 'blocked' et motif.</t>
  </si>
  <si>
    <t xml:space="preserve">P2-04, P1-09</t>
  </si>
  <si>
    <t xml:space="preserve">P2-07</t>
  </si>
  <si>
    <t xml:space="preserve">Tests de propriétés du diff</t>
  </si>
  <si>
    <t xml:space="preserve">Renforcer la fiabilité du diff avec du property-based testing.</t>
  </si>
  <si>
    <t xml:space="preserve">tests/schema/test_diff_properties.py (hypothesis) : diff(a,a)=∅, symétrie des ajouts/suppressions, stabilité à l'ordre des colonnes.</t>
  </si>
  <si>
    <t xml:space="preserve">Preuve de rigueur de test. Compétence : property-based testing.</t>
  </si>
  <si>
    <t xml:space="preserve">`pytest tests/schema/test_diff_properties.py` : 500 exemples générés, 0 contre-exemple.</t>
  </si>
  <si>
    <t xml:space="preserve">P3-01</t>
  </si>
  <si>
    <t xml:space="preserve">Modèle canonique &amp; dictionnaire sémantique</t>
  </si>
  <si>
    <t xml:space="preserve">Définir les champs cibles et leurs synonymes (FR/EN).</t>
  </si>
  <si>
    <t xml:space="preserve">config/semantic/canonical.yaml (champ, type, description, synonymes, unité), src/adp/mapping/dictionary.py.</t>
  </si>
  <si>
    <t xml:space="preserve">Le référentiel sémantique est ce qui rend le mapping intelligent. Compétence : modélisation sémantique, BA.</t>
  </si>
  <si>
    <t xml:space="preserve">`pytest tests/mapping/test_dictionary.py` : chargement valide, doublon de synonyme détecté, recherche insensible à la casse/accents.</t>
  </si>
  <si>
    <t xml:space="preserve">P3-02</t>
  </si>
  <si>
    <t xml:space="preserve">Mapping par règles &amp; fuzzy</t>
  </si>
  <si>
    <t xml:space="preserve">Premier niveau déterministe : exact, normalisé, synonyme, fuzzy (rapidfuzz) avec score.</t>
  </si>
  <si>
    <t xml:space="preserve">src/adp/mapping/rules.py (MappingCandidate{source_col,target,score,method}), normalisation (accents, casse, séparateurs).</t>
  </si>
  <si>
    <t xml:space="preserve">Baseline explicable avant tout LLM. Compétence : NLP léger, baseline-first.</t>
  </si>
  <si>
    <t xml:space="preserve">`pytest tests/mapping/test_rules.py` : 'N° Client' → customer_id (méthode normalisé) ; 'cust_nm' → customer_name (fuzzy ≥ seuil).</t>
  </si>
  <si>
    <t xml:space="preserve">P3-03</t>
  </si>
  <si>
    <t xml:space="preserve">Mapping assisté par LLM + RAG</t>
  </si>
  <si>
    <t xml:space="preserve">Proposer des mappings pour les colonnes non résolues via embeddings + LLM, sortie JSON validée.</t>
  </si>
  <si>
    <t xml:space="preserve">src/adp/mapping/llm.py (interface LLMProvider, Claude via SDK anthropic, fallback local), embeddings du glossaire, prompt structuré, validation pydantic, cache disque.</t>
  </si>
  <si>
    <t xml:space="preserve">Le LLM propose, ne décide pas. Compétence : LLM/RAG appliqué, prompt engineering, sorties structurées.</t>
  </si>
  <si>
    <t xml:space="preserve">`pytest tests/mapping/test_llm.py` avec provider simulé : JSON invalide rejeté, réponse hors glossaire rejetée, cache évite 2e appel ; test d'intégration marqué `slow` avec vraie clé.</t>
  </si>
  <si>
    <t xml:space="preserve">H-09</t>
  </si>
  <si>
    <t xml:space="preserve">P3-04</t>
  </si>
  <si>
    <t xml:space="preserve">Politique de décision &amp; revue humaine</t>
  </si>
  <si>
    <t xml:space="preserve">Auto-appliquer au-dessus d'un seuil, sinon file de revue (human-in-the-loop).</t>
  </si>
  <si>
    <t xml:space="preserve">src/adp/mapping/decision.py, table review_queue, CLI `adp review list/approve/reject`, journalisation de chaque décision.</t>
  </si>
  <si>
    <t xml:space="preserve">Contrôle du risque IA : traçabilité et réversibilité. Compétence : IA responsable, gouvernance.</t>
  </si>
  <si>
    <t xml:space="preserve">`pytest tests/mapping/test_decision.py` : score 0.95 → auto ; 0.7 → file ; décision approuvée enregistrée avec auteur et horodatage.</t>
  </si>
  <si>
    <t xml:space="preserve">P3-02, P3-03</t>
  </si>
  <si>
    <t xml:space="preserve">P3-05</t>
  </si>
  <si>
    <t xml:space="preserve">Transformations de types sûres</t>
  </si>
  <si>
    <t xml:space="preserve">Appliquer conversions et règles de transformation sans exécution de code arbitraire.</t>
  </si>
  <si>
    <t xml:space="preserve">src/adp/mapping/transform.py : DSL déclaratif (cast, parse_date, strip, map_values, unit_convert), évaluateur whitelisté, erreurs par ligne vers dead-letter.</t>
  </si>
  <si>
    <t xml:space="preserve">Évite l'injection via sortie LLM. Compétence : sécurité, conception de DSL.</t>
  </si>
  <si>
    <t xml:space="preserve">`pytest tests/mapping/test_transform.py` : transformation inconnue refusée ; tentative `__import__` dans une règle rejetée ; conversions correctes.</t>
  </si>
  <si>
    <t xml:space="preserve">P3-06</t>
  </si>
  <si>
    <t xml:space="preserve">Nettoyage &amp; normalisation</t>
  </si>
  <si>
    <t xml:space="preserve">Standardiser texte, dates, nombres, unités et valeurs manquantes.</t>
  </si>
  <si>
    <t xml:space="preserve">src/adp/silver/clean.py, règles par champ canonique, journal des corrections.</t>
  </si>
  <si>
    <t xml:space="preserve">Qualité à la source de Silver. Compétence : data cleansing.</t>
  </si>
  <si>
    <t xml:space="preserve">`pytest tests/silver/test_clean.py` : espaces/casse/accents normalisés, dates → ISO 8601, 'N/A','-','' → null.</t>
  </si>
  <si>
    <t xml:space="preserve">P3-07</t>
  </si>
  <si>
    <t xml:space="preserve">Déduplication</t>
  </si>
  <si>
    <t xml:space="preserve">Dédoublonnage exact et approximatif (blocking + similarité).</t>
  </si>
  <si>
    <t xml:space="preserve">src/adp/silver/dedup.py (clés naturelles, blocking, rapidfuzz), règle de survivance, rapport de doublons.</t>
  </si>
  <si>
    <t xml:space="preserve">Entity resolution de base. Compétence : data science appliquée.</t>
  </si>
  <si>
    <t xml:space="preserve">`pytest tests/silver/test_dedup.py` : 10 doublons injectés sur 1000 lignes → 10 trouvés, 0 faux positif.</t>
  </si>
  <si>
    <t xml:space="preserve">P3-08</t>
  </si>
  <si>
    <t xml:space="preserve">Écriture Silver &amp; apprentissage du dictionnaire</t>
  </si>
  <si>
    <t xml:space="preserve">Écrire Silver et enrichir automatiquement les synonymes avec les mappings validés.</t>
  </si>
  <si>
    <t xml:space="preserve">src/adp/silver/writer.py (Parquet typé, versionné par schéma), src/adp/mapping/learn.py (ajout de synonymes validés, jamais non validés).</t>
  </si>
  <si>
    <t xml:space="preserve">Boucle d'amélioration continue. Compétence : MLOps léger, feedback loop.</t>
  </si>
  <si>
    <t xml:space="preserve">`pytest tests/silver/test_writer.py tests/mapping/test_learn.py` : mapping approuvé → synonyme ajouté ; au prochain run même colonne résolue par règle sans LLM.</t>
  </si>
  <si>
    <t xml:space="preserve">P3-09</t>
  </si>
  <si>
    <t xml:space="preserve">Évaluation du mapping (jeu annoté)</t>
  </si>
  <si>
    <t xml:space="preserve">Mesurer précision/rappel des mappings règles vs règles+LLM.</t>
  </si>
  <si>
    <t xml:space="preserve">tests/data/gold_mappings.csv (≥100 colonnes annotées), src/adp/mapping/eval.py, rapport docs/eval/mapping.md avec matrice de confusion.</t>
  </si>
  <si>
    <t xml:space="preserve">Une métrique chiffrée vaut mille promesses — argument fort en entretien. Compétence : évaluation de modèles.</t>
  </si>
  <si>
    <t xml:space="preserve">`python -m adp.mapping.eval` → rapport généré ; précision règles+LLM ≥ précision règles seules (seuil à fixer, voir H-09).</t>
  </si>
  <si>
    <t xml:space="preserve">P3-03, P3-08</t>
  </si>
  <si>
    <t xml:space="preserve">P4-01</t>
  </si>
  <si>
    <t xml:space="preserve">Moteur de règles qualité</t>
  </si>
  <si>
    <t xml:space="preserve">Règles déclaratives : not_null, unique, plage, regex, référentiel, fraîcheur.</t>
  </si>
  <si>
    <t xml:space="preserve">src/adp/quality/rules.py, config/quality/*.yaml, résultats par règle (passé/échoué/lignes).</t>
  </si>
  <si>
    <t xml:space="preserve">Qualité codée comme contrat. Compétence : data quality engineering.</t>
  </si>
  <si>
    <t xml:space="preserve">`pytest tests/quality/test_rules.py` : chaque type de règle testé passant et échouant, avec nombre de lignes en échec correct.</t>
  </si>
  <si>
    <t xml:space="preserve">P4-02</t>
  </si>
  <si>
    <t xml:space="preserve">Anomalies &amp; dérive de distribution</t>
  </si>
  <si>
    <t xml:space="preserve">Détecter valeurs aberrantes et dérive entre lots (z-score/IQR, PSI, KS).</t>
  </si>
  <si>
    <t xml:space="preserve">src/adp/quality/anomaly.py, src/adp/quality/drift.py, seuils configurables.</t>
  </si>
  <si>
    <t xml:space="preserve">Statistiques appliquées à la fiabilité. Compétence : data science, monitoring de dérive.</t>
  </si>
  <si>
    <t xml:space="preserve">`pytest tests/quality/test_anomaly.py` : outlier injecté détecté ; deux échantillons même loi → pas d'alerte ; décalage de moyenne → PSI &gt; seuil.</t>
  </si>
  <si>
    <t xml:space="preserve">P4-03</t>
  </si>
  <si>
    <t xml:space="preserve">Score de qualité</t>
  </si>
  <si>
    <t xml:space="preserve">Score par colonne et par lot (complétude, validité, unicité, fraîcheur).</t>
  </si>
  <si>
    <t xml:space="preserve">src/adp/quality/score.py, pondération configurable, persistance par run.</t>
  </si>
  <si>
    <t xml:space="preserve">Résumer la qualité en un indicateur actionnable (BIA). Compétence : KPI data.</t>
  </si>
  <si>
    <t xml:space="preserve">`pytest tests/quality/test_score.py` : jeu parfait = 100 ; 10 % de nulls sur colonne obligatoire → complétude 90 ; poids respectés.</t>
  </si>
  <si>
    <t xml:space="preserve">P4-04</t>
  </si>
  <si>
    <t xml:space="preserve">Quarantaine dynamique</t>
  </si>
  <si>
    <t xml:space="preserve">Isoler lignes ou lots en échec qualité sans bloquer le reste, avec rejeu possible.</t>
  </si>
  <si>
    <t xml:space="preserve">src/adp/quality/quarantine.py (niveau ligne/lot, motifs, statut), commande `adp quarantine release/replay`.</t>
  </si>
  <si>
    <t xml:space="preserve">Isolation du risque et reprise contrôlée. Compétence : conception de pipelines résilients.</t>
  </si>
  <si>
    <t xml:space="preserve">`pytest tests/quality/test_quarantine.py` : 5 % de lignes invalides → mises en quarantaine, 95 % passent ; lot sous seuil critique → lot entier isolé ; replay après correction réussit.</t>
  </si>
  <si>
    <t xml:space="preserve">P4-01, P4-03</t>
  </si>
  <si>
    <t xml:space="preserve">P4-05</t>
  </si>
  <si>
    <t xml:space="preserve">Rapports de qualité</t>
  </si>
  <si>
    <t xml:space="preserve">Rapport HTML/JSON par run, lisible par un métier.</t>
  </si>
  <si>
    <t xml:space="preserve">src/adp/quality/report.py, templates Jinja2, export vers docs/samples/.</t>
  </si>
  <si>
    <t xml:space="preserve">Communication vers les parties prenantes. Compétence : data storytelling.</t>
  </si>
  <si>
    <t xml:space="preserve">`pytest tests/quality/test_report.py` : HTML valide contenant score, règles en échec, top anomalies.</t>
  </si>
  <si>
    <t xml:space="preserve">P4-06</t>
  </si>
  <si>
    <t xml:space="preserve">Contrôles métier &amp; cohérence</t>
  </si>
  <si>
    <t xml:space="preserve">Règles inter-colonnes et inter-sources (ex. date_fin ≥ date_debut, totaux).</t>
  </si>
  <si>
    <t xml:space="preserve">config/quality/business_rules.yaml, extension du moteur pour expressions SQL DuckDB whitelistées.</t>
  </si>
  <si>
    <t xml:space="preserve">Capte la logique métier, pas seulement technique. Compétence : analyse métier (BA).</t>
  </si>
  <si>
    <t xml:space="preserve">`pytest tests/quality/test_business_rules.py` : violation détectée avec lignes identifiées ; expression non autorisée refusée.</t>
  </si>
  <si>
    <t xml:space="preserve">P4-07</t>
  </si>
  <si>
    <t xml:space="preserve">Validation finale Silver → Gold</t>
  </si>
  <si>
    <t xml:space="preserve">Gate final : le lot n'est promu que si score et règles critiques passent.</t>
  </si>
  <si>
    <t xml:space="preserve">src/adp/orchestration/promotion_gate.py, asset Dagster promote_to_gold.</t>
  </si>
  <si>
    <t xml:space="preserve">Garantit que Gold = données de confiance. Compétence : data governance.</t>
  </si>
  <si>
    <t xml:space="preserve">Run Dagster : lot conforme → promu ; lot avec règle critique en échec → non promu, statut 'quarantined' et rapport disponible.</t>
  </si>
  <si>
    <t xml:space="preserve">P4-04, P4-06</t>
  </si>
  <si>
    <t xml:space="preserve">P5-01</t>
  </si>
  <si>
    <t xml:space="preserve">Modèle Gold &amp; contrats de data products</t>
  </si>
  <si>
    <t xml:space="preserve">Définir les data products avec owner, SLA, criticité et consommateurs (analyse d'impact BIA).</t>
  </si>
  <si>
    <t xml:space="preserve">config/products/*.yaml (nom, schéma, owner, SLA fraîcheur, criticité, consommateurs), src/adp/gold/contract.py, matrice d'impact docs/bia.md.</t>
  </si>
  <si>
    <t xml:space="preserve">Relie la technique aux enjeux métier : démontre BA + BIA. Compétence : data product thinking.</t>
  </si>
  <si>
    <t xml:space="preserve">`pytest tests/gold/test_contract.py` : contrat sans owner ou SLA refusé ; matrice d'impact générée liste produits critiques.</t>
  </si>
  <si>
    <t xml:space="preserve">H-01, H-05</t>
  </si>
  <si>
    <t xml:space="preserve">P5-02</t>
  </si>
  <si>
    <t xml:space="preserve">Vues &amp; indicateurs DuckDB</t>
  </si>
  <si>
    <t xml:space="preserve">Construire les vues métier et indicateurs, matérialisées au besoin.</t>
  </si>
  <si>
    <t xml:space="preserve">src/adp/gold/views.py, sql/gold/*.sql, builder idempotent, tests sur jeu réduit.</t>
  </si>
  <si>
    <t xml:space="preserve">DuckDB comme moteur analytique embarqué. Compétence : SQL analytique.</t>
  </si>
  <si>
    <t xml:space="preserve">`pytest tests/gold/test_views.py` : indicateurs recalculés = valeurs attendues du jeu témoin ; rebuild idempotent.</t>
  </si>
  <si>
    <t xml:space="preserve">P5-03</t>
  </si>
  <si>
    <t xml:space="preserve">API FastAPI</t>
  </si>
  <si>
    <t xml:space="preserve">Exposer data products, schémas, qualité et runs.</t>
  </si>
  <si>
    <t xml:space="preserve">src/adp/api/main.py, routers (products, schemas, quality, runs, health), auth par clé API, pagination, OpenAPI.</t>
  </si>
  <si>
    <t xml:space="preserve">Mise à disposition contrôlée de la donnée. Compétence : API design.</t>
  </si>
  <si>
    <t xml:space="preserve">`pytest tests/api` (TestClient) : 401 sans clé, 200 avec ; pagination correcte ; `/openapi.json` valide.</t>
  </si>
  <si>
    <t xml:space="preserve">P5-04</t>
  </si>
  <si>
    <t xml:space="preserve">Catalogue de données &amp; lignage</t>
  </si>
  <si>
    <t xml:space="preserve">Métadonnées actives : produits, colonnes, lignage source→Gold.</t>
  </si>
  <si>
    <t xml:space="preserve">src/adp/catalog/ (modèle, extraction du lignage depuis les runs, export OpenLineage-lite JSON), endpoint /catalog.</t>
  </si>
  <si>
    <t xml:space="preserve">Découvrabilité et confiance. Compétence : metadata management, lignage.</t>
  </si>
  <si>
    <t xml:space="preserve">`pytest tests/catalog` : lignage d'une colonne Gold remonte jusqu'à la source Bronze ; endpoint renvoie produits et owners.</t>
  </si>
  <si>
    <t xml:space="preserve">P5-05</t>
  </si>
  <si>
    <t xml:space="preserve">Design system &amp; maquettes de l'UI</t>
  </si>
  <si>
    <t xml:space="preserve">Définir style, palette, typographie et composants avant de coder.</t>
  </si>
  <si>
    <t xml:space="preserve">frontend/DESIGN.md (tokens, composants, écrans), maquettes statiques HTML dans frontend/mockups/.</t>
  </si>
  <si>
    <t xml:space="preserve">Cohérence visuelle = portfolio crédible. Compétence : UI/UX appliqué à la donnée.</t>
  </si>
  <si>
    <t xml:space="preserve">Revue : 4 écrans maquettés (pipeline, qualité, schémas, revue mapping) ; contraste AA vérifié ; validation par l'utilisateur à la gate.</t>
  </si>
  <si>
    <t xml:space="preserve">H-10</t>
  </si>
  <si>
    <t xml:space="preserve">ui-ux-pro-max</t>
  </si>
  <si>
    <t xml:space="preserve">P5-06</t>
  </si>
  <si>
    <t xml:space="preserve">Dashboard React</t>
  </si>
  <si>
    <t xml:space="preserve">Interface de supervision : pipeline, qualité, évolutions de schéma, file de revue.</t>
  </si>
  <si>
    <t xml:space="preserve">frontend/ (Vite, React, TS, Tailwind, TanStack Query), pages et composants, client API typé.</t>
  </si>
  <si>
    <t xml:space="preserve">Rend la plateforme démontrable en 2 minutes. Compétence : front-end data apps.</t>
  </si>
  <si>
    <t xml:space="preserve">`cd frontend &amp;&amp; npm run build &amp;&amp; npm test` verts ; dashboard affiche les données de l'API de démo.</t>
  </si>
  <si>
    <t xml:space="preserve">P5-07</t>
  </si>
  <si>
    <t xml:space="preserve">Animations &amp; micro-interactions</t>
  </si>
  <si>
    <t xml:space="preserve">Transitions sobres et fonctionnelles, respect de prefers-reduced-motion.</t>
  </si>
  <si>
    <t xml:space="preserve">Framer Motion (ou équivalent), transitions de pages, états de chargement/vides, hook useReducedMotion.</t>
  </si>
  <si>
    <t xml:space="preserve">Finition perçue sans nuire à l'accessibilité. Compétence : motion design UI.</t>
  </si>
  <si>
    <t xml:space="preserve">Test Vitest : animations désactivées si reduced-motion ; revue visuelle (captures) ; Lighthouse perf ≥ 85.</t>
  </si>
  <si>
    <t xml:space="preserve">ui-ux-pro-max, motion</t>
  </si>
  <si>
    <t xml:space="preserve">P5-08</t>
  </si>
  <si>
    <t xml:space="preserve">Tests E2E &amp; accessibilité</t>
  </si>
  <si>
    <t xml:space="preserve">Parcours critiques automatisés et audit a11y.</t>
  </si>
  <si>
    <t xml:space="preserve">frontend/e2e/ (Playwright), axe-core dans les tests, job CI dédié.</t>
  </si>
  <si>
    <t xml:space="preserve">Qualité front mesurable. Compétence : test E2E, accessibilité.</t>
  </si>
  <si>
    <t xml:space="preserve">`npx playwright test` vert ; 0 violation axe 'serious/critical'.</t>
  </si>
  <si>
    <t xml:space="preserve">P6-01</t>
  </si>
  <si>
    <t xml:space="preserve">Audit &amp; métriques</t>
  </si>
  <si>
    <t xml:space="preserve">Tables d'audit et métriques Prometheus pour chaque run.</t>
  </si>
  <si>
    <t xml:space="preserve">src/adp/observability/audit.py, metrics.py (prometheus-client), endpoint /metrics, tables run_audit, step_audit.</t>
  </si>
  <si>
    <t xml:space="preserve">Base de la fiabilité mesurée. Compétence : observabilité.</t>
  </si>
  <si>
    <t xml:space="preserve">`pytest tests/observability` ; `curl :8000/metrics` expose adp_runs_total, adp_quality_score, adp_schema_changes_total.</t>
  </si>
  <si>
    <t xml:space="preserve">P6-02</t>
  </si>
  <si>
    <t xml:space="preserve">Alerting &amp; analyse de cause racine</t>
  </si>
  <si>
    <t xml:space="preserve">Alertes webhook et explication LLM de la cause probable d'un échec.</t>
  </si>
  <si>
    <t xml:space="preserve">src/adp/observability/alerts.py (webhook Slack/Discord), rca.py (contexte logs+diff → hypothèses classées), anti-bruit (dédup, seuils).</t>
  </si>
  <si>
    <t xml:space="preserve">Réduit le MTTR. Compétence : AIOps, prompt engineering.</t>
  </si>
  <si>
    <t xml:space="preserve">`pytest tests/observability/test_alerts.py` : même alerte non répétée dans la fenêtre ; RCA sur échec simulé cite le changement de schéma réel.</t>
  </si>
  <si>
    <t xml:space="preserve">P6-01, P3-03</t>
  </si>
  <si>
    <t xml:space="preserve">P6-03</t>
  </si>
  <si>
    <t xml:space="preserve">Auto-rejeu intelligent</t>
  </si>
  <si>
    <t xml:space="preserve">Relancer automatiquement après correctif, de façon idempotente et bornée.</t>
  </si>
  <si>
    <t xml:space="preserve">src/adp/orchestration/replay.py : détection de correctif (mapping approuvé, règle modifiée), budget de retries, backoff, kill switch (config).</t>
  </si>
  <si>
    <t xml:space="preserve">Self-healing sans emballement. Compétence : conception de systèmes fiables.</t>
  </si>
  <si>
    <t xml:space="preserve">`pytest tests/orchestration/test_replay.py` : après approbation d'un mapping le lot bloqué est rejoué une fois ; budget épuisé → stop et alerte ; kill switch respecté ; rejeu sans doublons.</t>
  </si>
  <si>
    <t xml:space="preserve">P6-02, P4-04</t>
  </si>
  <si>
    <t xml:space="preserve">P6-04</t>
  </si>
  <si>
    <t xml:space="preserve">Dashboards Grafana as code</t>
  </si>
  <si>
    <t xml:space="preserve">Dashboards versionnés provisionnés automatiquement.</t>
  </si>
  <si>
    <t xml:space="preserve">infra/grafana/provisioning/ (datasources, dashboards JSON), ajout de Prometheus/Grafana au compose.</t>
  </si>
  <si>
    <t xml:space="preserve">Observabilité reproductible. Compétence : IaC monitoring.</t>
  </si>
  <si>
    <t xml:space="preserve">`docker compose up -d` → Grafana expose le dashboard 'ADP Overview' avec données.</t>
  </si>
  <si>
    <t xml:space="preserve">P6-05</t>
  </si>
  <si>
    <t xml:space="preserve">Auto-optimisation guidée par l'usage</t>
  </si>
  <si>
    <t xml:space="preserve">Analyser les requêtes API et proposer index / vues matérialisées.</t>
  </si>
  <si>
    <t xml:space="preserve">src/adp/optimizer/usage.py (journal de requêtes), advisor.py (règles de recommandation), application sous validation, rapport avant/après.</t>
  </si>
  <si>
    <t xml:space="preserve">Plateforme qui s'améliore seule, avec mesure. Compétence : performance data, optimisation.</t>
  </si>
  <si>
    <t xml:space="preserve">`pytest tests/optimizer` ; benchmark `make bench-optim` : latence p95 de la requête fréquente réduite d'au moins la cible fixée (H-11).</t>
  </si>
  <si>
    <t xml:space="preserve">P6-01, P5-02</t>
  </si>
  <si>
    <t xml:space="preserve">H-11</t>
  </si>
  <si>
    <t xml:space="preserve">P6-06</t>
  </si>
  <si>
    <t xml:space="preserve">Compaction &amp; rétention automatisées</t>
  </si>
  <si>
    <t xml:space="preserve">Compacter les petits fichiers et appliquer la rétention.</t>
  </si>
  <si>
    <t xml:space="preserve">src/adp/optimizer/compaction.py, jobs Dagster planifiés, métriques avant/après.</t>
  </si>
  <si>
    <t xml:space="preserve">Résout le small-files problem. Compétence : lakehouse ops.</t>
  </si>
  <si>
    <t xml:space="preserve">`pytest tests/optimizer/test_compaction.py` : 200 petits Parquet → N fichiers cibles, lignes identiques (hash) ; rétention appliquée.</t>
  </si>
  <si>
    <t xml:space="preserve">P6-07</t>
  </si>
  <si>
    <t xml:space="preserve">Sécurité : RBAC, TLS, scans</t>
  </si>
  <si>
    <t xml:space="preserve">Rôles, chiffrement en transit et scan automatique des dépendances/secrets.</t>
  </si>
  <si>
    <t xml:space="preserve">src/adp/api/rbac.py (rôles viewer/steward/admin), reverse proxy Caddy/Traefik TLS en compose, CI : pip-audit + gitleaks.</t>
  </si>
  <si>
    <t xml:space="preserve">Sécurité de bout en bout. Compétence : DevSecOps.</t>
  </si>
  <si>
    <t xml:space="preserve">`pytest tests/api/test_rbac.py` : viewer ne peut pas approuver un mapping ; CI de sécurité verte ; HTTPS actif en local.</t>
  </si>
  <si>
    <t xml:space="preserve">P6-08</t>
  </si>
  <si>
    <t xml:space="preserve">(Stretch) Hot path en Rust via PyO3</t>
  </si>
  <si>
    <t xml:space="preserve">Réécrire le calcul de similarité du diff en Rust pour mesurer le gain.</t>
  </si>
  <si>
    <t xml:space="preserve">rust/adp_core/ (maturin, PyO3) exposant similarity_matrix, intégration optionnelle avec fallback Python.</t>
  </si>
  <si>
    <t xml:space="preserve">Montre la maîtrise Rust/Python pour les chemins critiques. Compétence : Rust, performance. À faire seulement si H-03 confirme.</t>
  </si>
  <si>
    <t xml:space="preserve">`maturin develop &amp;&amp; pytest tests/schema/test_rust_parity.py` : résultats identiques au Python ; benchmark ≥ x fois plus rapide.</t>
  </si>
  <si>
    <t xml:space="preserve">P2-03, P6-05</t>
  </si>
  <si>
    <t xml:space="preserve">P6-09</t>
  </si>
  <si>
    <t xml:space="preserve">Benchmarks &amp; rapport de performance</t>
  </si>
  <si>
    <t xml:space="preserve">Mesurer débit, latence et gains de l'optimisation.</t>
  </si>
  <si>
    <t xml:space="preserve">scripts/bench.py, docs/perf/report.md (méthodo, matériel, résultats, limites).</t>
  </si>
  <si>
    <t xml:space="preserve">Chiffres vérifiables pour CV et entretiens. Compétence : benchmarking rigoureux.</t>
  </si>
  <si>
    <t xml:space="preserve">`make bench` régénère le rapport ; chaque chiffre du rapport est reproductible (commande indiquée).</t>
  </si>
  <si>
    <t xml:space="preserve">P7-01</t>
  </si>
  <si>
    <t xml:space="preserve">README professionnel</t>
  </si>
  <si>
    <t xml:space="preserve">Page d'accueil GitHub : problème, architecture, démo, quickstart.</t>
  </si>
  <si>
    <t xml:space="preserve">README.md (badges, diagramme, GIF, quickstart en 5 commandes, structure, roadmap).</t>
  </si>
  <si>
    <t xml:space="preserve">Première impression du recruteur. Compétence : communication technique.</t>
  </si>
  <si>
    <t xml:space="preserve">Un lecteur neuf exécute le quickstart sans aide et obtient la démo ; liens vérifiés (`lychee`).</t>
  </si>
  <si>
    <t xml:space="preserve">P7-02</t>
  </si>
  <si>
    <t xml:space="preserve">Documentation (MkDocs)</t>
  </si>
  <si>
    <t xml:space="preserve">Site de doc : architecture, guides, API, ADR.</t>
  </si>
  <si>
    <t xml:space="preserve">mkdocs.yml, docs/ complété, déploiement GitHub Pages via workflow.</t>
  </si>
  <si>
    <t xml:space="preserve">Prouve la maintenabilité. Compétence : documentation.</t>
  </si>
  <si>
    <t xml:space="preserve">`mkdocs build --strict` sans avertissement ; site publié.</t>
  </si>
  <si>
    <t xml:space="preserve">P7-03</t>
  </si>
  <si>
    <t xml:space="preserve">Démo reproductible de bout en bout</t>
  </si>
  <si>
    <t xml:space="preserve">Une commande rejoue le scénario dérive v1→v3 avec auto-mapping, quarantaine et dashboard.</t>
  </si>
  <si>
    <t xml:space="preserve">Makefile `demo`, scripts/demo.py, jeux seedés, script de reset.</t>
  </si>
  <si>
    <t xml:space="preserve">Montre la valeur en 3 minutes. Compétence : storytelling technique.</t>
  </si>
  <si>
    <t xml:space="preserve">`make reset demo` deux fois → même résultat ; checklist de la démo cochée.</t>
  </si>
  <si>
    <t xml:space="preserve">P7-04</t>
  </si>
  <si>
    <t xml:space="preserve">GIF/vidéo de démonstration</t>
  </si>
  <si>
    <t xml:space="preserve">Capsule visuelle de 60-90 s pour README et LinkedIn.</t>
  </si>
  <si>
    <t xml:space="preserve">docs/media/demo.gif + demo.mp4 (script de capture reproductible), sous-titres.</t>
  </si>
  <si>
    <t xml:space="preserve">Visibilité du projet. Compétence : présentation.</t>
  </si>
  <si>
    <t xml:space="preserve">Fichiers &lt; 10 Mo, lisibles, scénario conforme à P7-03 (validation visuelle utilisateur).</t>
  </si>
  <si>
    <t xml:space="preserve">H-12</t>
  </si>
  <si>
    <t xml:space="preserve">motion</t>
  </si>
  <si>
    <t xml:space="preserve">P7-05</t>
  </si>
  <si>
    <t xml:space="preserve">Étude de cas BA / BIA</t>
  </si>
  <si>
    <t xml:space="preserve">Document de 4-6 pages : problème métier, parties prenantes, exigences, KPI, ROI estimé, risques et impacts.</t>
  </si>
  <si>
    <t xml:space="preserve">docs/case-study.md (canevas BABOK-like : contexte, besoins, user stories, matrice RACI, KPIs, analyse d'impact, risques).</t>
  </si>
  <si>
    <t xml:space="preserve">Distingue un profil data de bout en bout d'un simple développeur. Compétence : analyse métier, BIA.</t>
  </si>
  <si>
    <t xml:space="preserve">Relecture : chaque KPI est lié à une mesure du projet ; chaque risque a une mitigation ; validation utilisateur.</t>
  </si>
  <si>
    <t xml:space="preserve">P7-06</t>
  </si>
  <si>
    <t xml:space="preserve">Contenus CV &amp; LinkedIn</t>
  </si>
  <si>
    <t xml:space="preserve">Bullet points orientés résultats, résumé de profil et mapping des compétences.</t>
  </si>
  <si>
    <t xml:space="preserve">docs/career/cv-bullets.md (versions FR/EN, format action-métrique-résultat), linkedin.md, skills-matrix.md.</t>
  </si>
  <si>
    <t xml:space="preserve">Convertit le projet en arguments de candidature. Compétence : positionnement.</t>
  </si>
  <si>
    <t xml:space="preserve">Chaque chiffre cité dans un bullet pointe vers une preuve du repo ; validation utilisateur.</t>
  </si>
  <si>
    <t xml:space="preserve">P7-05, P6-09</t>
  </si>
  <si>
    <t xml:space="preserve">H-05</t>
  </si>
  <si>
    <t xml:space="preserve">portfolio-writer</t>
  </si>
  <si>
    <t xml:space="preserve">P7-07</t>
  </si>
  <si>
    <t xml:space="preserve">Cartographie compétences ↔ postes visés</t>
  </si>
  <si>
    <t xml:space="preserve">Aligner le projet sur les offres/programmes ciblés.</t>
  </si>
  <si>
    <t xml:space="preserve">docs/career/target-roles.md (offres cibles, compétences exigées, preuves dans le projet, écarts à combler).</t>
  </si>
  <si>
    <t xml:space="preserve">Rend la candidature ciblée. Compétence : stratégie de carrière.</t>
  </si>
  <si>
    <t xml:space="preserve">Tableau complet pour ≥ 5 offres réelles fournies par l'utilisateur ; chaque écart a un plan.</t>
  </si>
  <si>
    <t xml:space="preserve">P7-08</t>
  </si>
  <si>
    <t xml:space="preserve">Release v1.0</t>
  </si>
  <si>
    <t xml:space="preserve">Finaliser et publier.</t>
  </si>
  <si>
    <t xml:space="preserve">CHANGELOG.md, tag v1.0.0, GitHub release, topics et description du repo, passage en public si décidé.</t>
  </si>
  <si>
    <t xml:space="preserve">Clôture professionnelle. Compétence : release management.</t>
  </si>
  <si>
    <t xml:space="preserve">CI verte sur main, tag poussé, release visible ; décision de visibilité confirmée par l'utilisateur.</t>
  </si>
  <si>
    <t xml:space="preserve">H-13</t>
  </si>
  <si>
    <t xml:space="preserve">Tâches concernées</t>
  </si>
  <si>
    <t xml:space="preserve">Question / zone d'ambiguïté</t>
  </si>
  <si>
    <t xml:space="preserve">Hypothèse de travail retenue</t>
  </si>
  <si>
    <t xml:space="preserve">Impact si l'hypothèse est fausse</t>
  </si>
  <si>
    <t xml:space="preserve">Précision à demander à l'utilisateur</t>
  </si>
  <si>
    <t xml:space="preserve">Décision / réponse</t>
  </si>
  <si>
    <t xml:space="preserve">Date</t>
  </si>
  <si>
    <t xml:space="preserve">P1-01, P1-03, P1-07, P3-01, P5-01, P7-05</t>
  </si>
  <si>
    <t xml:space="preserve">Quelles sources de données réelles utiliser pour le projet (APIs, fichiers, bases) et sur quel domaine métier ?</t>
  </si>
  <si>
    <t xml:space="preserve">Jeux publics : une API ouverte (ex. World Bank) + CSV/Excel d'open data marocain + versions dérivantes générées par le simulateur. Domaine : indicateurs socio-économiques.</t>
  </si>
  <si>
    <t xml:space="preserve">Modèle canonique, contrats Gold et étude de cas à refaire.</t>
  </si>
  <si>
    <t xml:space="preserve">Fournir 2-3 sources réelles prioritaires et le domaine (HCP, GED, autre) ; données sensibles à exclure.</t>
  </si>
  <si>
    <t xml:space="preserve">Ouverte</t>
  </si>
  <si>
    <t xml:space="preserve">P2-04, P3-04, P4-04, P6-03</t>
  </si>
  <si>
    <t xml:space="preserve">Quels seuils de décision automatique vs revue humaine (confiance mapping, taux de quarantaine, budget de retries) ?</t>
  </si>
  <si>
    <t xml:space="preserve">Auto-apply ≥ 0.90 ; revue entre 0.60 et 0.90 ; rejet &lt; 0.60 ; quarantaine ligne si &lt; 5 % invalides, lot si ≥ 20 % ; 3 retries max.</t>
  </si>
  <si>
    <t xml:space="preserve">Trop de revues manuelles ou, pire, de mauvaises corrections automatiques.</t>
  </si>
  <si>
    <t xml:space="preserve">Valider ou ajuster ces seuils après l'évaluation P3-09.</t>
  </si>
  <si>
    <t xml:space="preserve">P0-07, P2-03, P6-08</t>
  </si>
  <si>
    <t xml:space="preserve">Faut-il intégrer Rust et/ou Go (mentionnés dans le schéma) ou rester 100 % Python ?</t>
  </si>
  <si>
    <t xml:space="preserve">MVP 100 % Python. Rust en option (P6-08) uniquement pour le calcul de similarité ; Go non retenu pour le MVP.</t>
  </si>
  <si>
    <t xml:space="preserve">Si exigé : planning de P6 à rallonger ; sinon P6-08 est supprimée.</t>
  </si>
  <si>
    <t xml:space="preserve">Dire si Rust/Go sont des compétences à démontrer explicitement pour les postes visés.</t>
  </si>
  <si>
    <t xml:space="preserve">P0-02, P0-07, P2-02</t>
  </si>
  <si>
    <t xml:space="preserve">Magasin de métadonnées : SQLite ou PostgreSQL ?</t>
  </si>
  <si>
    <t xml:space="preserve">PostgreSQL dès le début (via Docker) pour la concurrence et la crédibilité ; SQLite uniquement pour les tests unitaires.</t>
  </si>
  <si>
    <t xml:space="preserve">Migration plus tardive plus coûteuse.</t>
  </si>
  <si>
    <t xml:space="preserve">Confirmer que Docker est disponible et acceptable sur la machine de démonstration.</t>
  </si>
  <si>
    <t xml:space="preserve">P5-01, P7-05, P7-06, P7-07</t>
  </si>
  <si>
    <t xml:space="preserve">Que vise précisément la candidature (« grade » : programme graduate, grade/poste précis, concours) et pour quel pays/employeur ?</t>
  </si>
  <si>
    <t xml:space="preserve">Postes data engineer / analytics engineer junior-confirmé et programmes graduate data, France/Maroc/Europe.</t>
  </si>
  <si>
    <t xml:space="preserve">Cartographie compétences et ton du CV mal ciblés.</t>
  </si>
  <si>
    <t xml:space="preserve">Préciser le type de poste, le pays, la langue du CV et 5 offres cibles.</t>
  </si>
  <si>
    <t xml:space="preserve">Versions et outils : Python 3.12 + uv, ruff, mypy ?</t>
  </si>
  <si>
    <t xml:space="preserve">Python 3.12, uv comme gestionnaire, ruff + mypy, pytest.</t>
  </si>
  <si>
    <t xml:space="preserve">Faible : réversible.</t>
  </si>
  <si>
    <t xml:space="preserve">Signaler toute contrainte (conda, version imposée).</t>
  </si>
  <si>
    <t xml:space="preserve">Le dossier graphify-out/ doit-il être commité ?</t>
  </si>
  <si>
    <t xml:space="preserve">Commiter GRAPH_REPORT.md uniquement ; graph.json et cache ignorés.</t>
  </si>
  <si>
    <t xml:space="preserve">Taille du repo ou perte de contexte pour de nouvelles sessions.</t>
  </si>
  <si>
    <t xml:space="preserve">Confirmer la préférence.</t>
  </si>
  <si>
    <t xml:space="preserve">Orchestrateur : Dagster (schéma) ou Prefect/Airflow ?</t>
  </si>
  <si>
    <t xml:space="preserve">Dagster, conforme au schéma d'architecture (assets + lignage natif).</t>
  </si>
  <si>
    <t xml:space="preserve">Réécriture des P1-09, P2-06, P4-07.</t>
  </si>
  <si>
    <t xml:space="preserve">Confirmer.</t>
  </si>
  <si>
    <t xml:space="preserve">P3-03, P3-09, P6-02</t>
  </si>
  <si>
    <t xml:space="preserve">Fournisseur LLM, budget et exigences de confidentialité pour le mapping et la RCA ?</t>
  </si>
  <si>
    <t xml:space="preserve">API Claude via clé personnelle, modèle Haiku/Sonnet selon la tâche, plafond de dépense configurable ; aucune donnée sensible envoyée (seuls noms de colonnes + échantillons anonymisés). Fallback local sans LLM.</t>
  </si>
  <si>
    <t xml:space="preserve">Coût, confidentialité, reproductibilité de la démo.</t>
  </si>
  <si>
    <t xml:space="preserve">Fournir une clé API de test (jamais commitée) et un plafond de budget ; confirmer l'interdiction d'envoyer des valeurs réelles.</t>
  </si>
  <si>
    <t xml:space="preserve">P5-05, P5-06, P5-07</t>
  </si>
  <si>
    <t xml:space="preserve">Stack et identité visuelle de l'interface ?</t>
  </si>
  <si>
    <t xml:space="preserve">React + Vite + TS + Tailwind ; thème sobre clair/sombre ; skill ui-ux-pro-max pour le design system ; 'motion skills' = Framer Motion + règles reduced-motion.</t>
  </si>
  <si>
    <t xml:space="preserve">Refonte du front si stack différente.</t>
  </si>
  <si>
    <t xml:space="preserve">Confirmer la stack et préciser ce que recouvre exactement « motion skills agent ».</t>
  </si>
  <si>
    <t xml:space="preserve">P6-05, P6-09</t>
  </si>
  <si>
    <t xml:space="preserve">Quelle cible de gain de performance valide l'auto-optimisation ?</t>
  </si>
  <si>
    <t xml:space="preserve">Réduction ≥ 30 % de la latence p95 sur la requête la plus fréquente, mesurée sur jeu de 1 M lignes.</t>
  </si>
  <si>
    <t xml:space="preserve">Objectif trop ambitieux ou trivial.</t>
  </si>
  <si>
    <t xml:space="preserve">Valider la cible et la taille du jeu de test.</t>
  </si>
  <si>
    <t xml:space="preserve">Format et outil pour la vidéo de démo ?</t>
  </si>
  <si>
    <t xml:space="preserve">GIF + MP4 capturés depuis le navigateur, sous-titres FR/EN.</t>
  </si>
  <si>
    <t xml:space="preserve">Faible.</t>
  </si>
  <si>
    <t xml:space="preserve">Indiquer les canaux visés (LinkedIn, GitHub, entretien).</t>
  </si>
  <si>
    <t xml:space="preserve">Le dépôt doit-il rester privé ou devenir public ?</t>
  </si>
  <si>
    <t xml:space="preserve">Privé pendant le développement ; passage en public à la release v1.0 après relecture sécurité.</t>
  </si>
  <si>
    <t xml:space="preserve">Fuite de données ou secrets si publié trop tôt ; invisibilité si jamais publié.</t>
  </si>
  <si>
    <t xml:space="preserve">Décision explicite de l'utilisateur avant la release.</t>
  </si>
  <si>
    <t xml:space="preserve">Cycle de vie d'une tâche</t>
  </si>
  <si>
    <t xml:space="preserve">Pas commencée.</t>
  </si>
  <si>
    <t xml:space="preserve">Claude travaille dessus (une seule tâche En cours à la fois).</t>
  </si>
  <si>
    <t xml:space="preserve">Code écrit, tests de la colonne G passés, preuve notée. En attente de la gate de phase.</t>
  </si>
  <si>
    <t xml:space="preserve">Posé uniquement par la commande de validation de phase, après accord explicite de l'utilisateur.</t>
  </si>
  <si>
    <t xml:space="preserve">Choix du modèle</t>
  </si>
  <si>
    <t xml:space="preserve">Conception, algorithmes critiques, sécurité, décisions d'architecture.</t>
  </si>
  <si>
    <t xml:space="preserve">Implémentation standard, API, tests, intégration.</t>
  </si>
  <si>
    <t xml:space="preserve">Échafaudage, documentation, configuration, tâches mécaniques.</t>
  </si>
  <si>
    <t xml:space="preserve">Règles</t>
  </si>
  <si>
    <t xml:space="preserve">Source de vérité</t>
  </si>
  <si>
    <t xml:space="preserve">Ce classeur. Ne pas l'éditer à la main pendant qu'une session Claude tourne : utiliser scripts/backlog.py.</t>
  </si>
  <si>
    <t xml:space="preserve">Ordre d'exécution</t>
  </si>
  <si>
    <t xml:space="preserve">Feuille Ordre_Execution. Les dépendances (colonne I) doivent être À valider ou Validé avant de démarrer.</t>
  </si>
  <si>
    <t xml:space="preserve">Hypothèses</t>
  </si>
  <si>
    <t xml:space="preserve">Si une tâche est ambiguë : noter la référence H-xx, travailler sur l'hypothèse retenue, et la remonter à la gate de phase.</t>
  </si>
  <si>
    <t xml:space="preserve">Gate de phase</t>
  </si>
  <si>
    <t xml:space="preserve">Fin de phase : Claude s'arrête, présente le bilan, attend « validé » de l'utilisateur.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</si>
</sst>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D5E8D4"/>
      </patternFill>
    </fill>
    <fill>
      <patternFill patternType="solid">
        <fgColor rgb="FFFFE699"/>
        <bgColor rgb="FFE7E6E6"/>
      </patternFill>
    </fill>
    <fill>
      <patternFill patternType="solid">
        <fgColor rgb="FF9DC3E6"/>
        <bgColor rgb="FFBFBFBF"/>
      </patternFill>
    </fill>
    <fill>
      <patternFill patternType="solid">
        <fgColor rgb="FFA9D08E"/>
        <bgColor rgb="FFBFBFBF"/>
      </patternFill>
    </fill>
    <fill>
      <patternFill patternType="solid">
        <fgColor rgb="FFD9C3F0"/>
        <bgColor rgb="FFC9DAF8"/>
      </patternFill>
    </fill>
    <fill>
      <patternFill patternType="solid">
        <fgColor rgb="FFC9DAF8"/>
        <bgColor rgb="FFD5E8D4"/>
      </patternFill>
    </fill>
    <fill>
      <patternFill patternType="solid">
        <fgColor rgb="FFD5E8D4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A9D08E"/>
        </patternFill>
      </fill>
    </dxf>
    <dxf>
      <fill>
        <patternFill>
          <bgColor rgb="FFE7E6E6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D9C3F0"/>
        </patternFill>
      </fill>
    </dxf>
    <dxf>
      <fill>
        <patternFill>
          <bgColor rgb="FFC9DAF8"/>
        </patternFill>
      </fill>
    </dxf>
    <dxf>
      <fill>
        <patternFill>
          <bgColor rgb="FFD5E8D4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D9C3F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9DAF8"/>
      <rgbColor rgb="FF660066"/>
      <rgbColor rgb="FFFF8080"/>
      <rgbColor rgb="FF0066CC"/>
      <rgbColor rgb="FFD9C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99"/>
      <rgbColor rgb="FF9DC3E6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A9D08E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11" min="6" style="0" width="10"/>
    <col collapsed="false" customWidth="true" hidden="false" outlineLevel="0" max="12" min="12" style="0" width="14"/>
    <col collapsed="false" customWidth="true" hidden="false" outlineLevel="0" max="13" min="13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42" hidden="false" customHeight="true" outlineLevel="0" collapsed="false">
      <c r="A5" s="4" t="s">
        <v>15</v>
      </c>
      <c r="B5" s="5" t="s">
        <v>16</v>
      </c>
      <c r="C5" s="5" t="s">
        <v>17</v>
      </c>
      <c r="D5" s="5" t="s">
        <v>18</v>
      </c>
      <c r="E5" s="4" t="s">
        <v>19</v>
      </c>
      <c r="F5" s="4" t="n">
        <f aca="false">COUNTA(P0_Fondations!$A$2:$A$200)</f>
        <v>7</v>
      </c>
      <c r="G5" s="4" t="n">
        <f aca="false">COUNTIF(P0_Fondations!$L$2:$L$200,"Non fait")</f>
        <v>7</v>
      </c>
      <c r="H5" s="4" t="n">
        <f aca="false">COUNTIF(P0_Fondations!$L$2:$L$200,"En cours")</f>
        <v>0</v>
      </c>
      <c r="I5" s="4" t="n">
        <f aca="false">COUNTIF(P0_Fondations!$L$2:$L$200,"À valider")</f>
        <v>0</v>
      </c>
      <c r="J5" s="4" t="n">
        <f aca="false">COUNTIF(P0_Fondations!$L$2:$L$200,"Validé")</f>
        <v>0</v>
      </c>
      <c r="K5" s="6" t="n">
        <f aca="false">IF(F5=0,0,J5/F5)</f>
        <v>0</v>
      </c>
      <c r="L5" s="4" t="s">
        <v>20</v>
      </c>
      <c r="M5" s="5" t="s">
        <v>21</v>
      </c>
    </row>
    <row r="6" customFormat="false" ht="42" hidden="false" customHeight="true" outlineLevel="0" collapsed="false">
      <c r="A6" s="4" t="s">
        <v>22</v>
      </c>
      <c r="B6" s="5" t="s">
        <v>23</v>
      </c>
      <c r="C6" s="5" t="s">
        <v>24</v>
      </c>
      <c r="D6" s="5" t="s">
        <v>25</v>
      </c>
      <c r="E6" s="4" t="s">
        <v>26</v>
      </c>
      <c r="F6" s="4" t="n">
        <f aca="false">COUNTA(P1_Ingestion_Bronze!$A$2:$A$200)</f>
        <v>9</v>
      </c>
      <c r="G6" s="4" t="n">
        <f aca="false">COUNTIF(P1_Ingestion_Bronze!$L$2:$L$200,"Non fait")</f>
        <v>9</v>
      </c>
      <c r="H6" s="4" t="n">
        <f aca="false">COUNTIF(P1_Ingestion_Bronze!$L$2:$L$200,"En cours")</f>
        <v>0</v>
      </c>
      <c r="I6" s="4" t="n">
        <f aca="false">COUNTIF(P1_Ingestion_Bronze!$L$2:$L$200,"À valider")</f>
        <v>0</v>
      </c>
      <c r="J6" s="4" t="n">
        <f aca="false">COUNTIF(P1_Ingestion_Bronze!$L$2:$L$200,"Validé")</f>
        <v>0</v>
      </c>
      <c r="K6" s="6" t="n">
        <f aca="false">IF(F6=0,0,J6/F6)</f>
        <v>0</v>
      </c>
      <c r="L6" s="4" t="s">
        <v>20</v>
      </c>
      <c r="M6" s="5" t="s">
        <v>27</v>
      </c>
    </row>
    <row r="7" customFormat="false" ht="42" hidden="false" customHeight="true" outlineLevel="0" collapsed="false">
      <c r="A7" s="4" t="s">
        <v>28</v>
      </c>
      <c r="B7" s="5" t="s">
        <v>29</v>
      </c>
      <c r="C7" s="5" t="s">
        <v>30</v>
      </c>
      <c r="D7" s="5" t="s">
        <v>31</v>
      </c>
      <c r="E7" s="4" t="s">
        <v>32</v>
      </c>
      <c r="F7" s="4" t="n">
        <f aca="false">COUNTA(P2_Schema_Evolution!$A$2:$A$200)</f>
        <v>7</v>
      </c>
      <c r="G7" s="4" t="n">
        <f aca="false">COUNTIF(P2_Schema_Evolution!$L$2:$L$200,"Non fait")</f>
        <v>7</v>
      </c>
      <c r="H7" s="4" t="n">
        <f aca="false">COUNTIF(P2_Schema_Evolution!$L$2:$L$200,"En cours")</f>
        <v>0</v>
      </c>
      <c r="I7" s="4" t="n">
        <f aca="false">COUNTIF(P2_Schema_Evolution!$L$2:$L$200,"À valider")</f>
        <v>0</v>
      </c>
      <c r="J7" s="4" t="n">
        <f aca="false">COUNTIF(P2_Schema_Evolution!$L$2:$L$200,"Validé")</f>
        <v>0</v>
      </c>
      <c r="K7" s="6" t="n">
        <f aca="false">IF(F7=0,0,J7/F7)</f>
        <v>0</v>
      </c>
      <c r="L7" s="4" t="s">
        <v>20</v>
      </c>
      <c r="M7" s="5" t="s">
        <v>33</v>
      </c>
    </row>
    <row r="8" customFormat="false" ht="42" hidden="false" customHeight="true" outlineLevel="0" collapsed="false">
      <c r="A8" s="4" t="s">
        <v>34</v>
      </c>
      <c r="B8" s="5" t="s">
        <v>35</v>
      </c>
      <c r="C8" s="5" t="s">
        <v>36</v>
      </c>
      <c r="D8" s="5" t="s">
        <v>37</v>
      </c>
      <c r="E8" s="4" t="s">
        <v>32</v>
      </c>
      <c r="F8" s="4" t="n">
        <f aca="false">COUNTA(P3_Mapping_Silver!$A$2:$A$200)</f>
        <v>9</v>
      </c>
      <c r="G8" s="4" t="n">
        <f aca="false">COUNTIF(P3_Mapping_Silver!$L$2:$L$200,"Non fait")</f>
        <v>9</v>
      </c>
      <c r="H8" s="4" t="n">
        <f aca="false">COUNTIF(P3_Mapping_Silver!$L$2:$L$200,"En cours")</f>
        <v>0</v>
      </c>
      <c r="I8" s="4" t="n">
        <f aca="false">COUNTIF(P3_Mapping_Silver!$L$2:$L$200,"À valider")</f>
        <v>0</v>
      </c>
      <c r="J8" s="4" t="n">
        <f aca="false">COUNTIF(P3_Mapping_Silver!$L$2:$L$200,"Validé")</f>
        <v>0</v>
      </c>
      <c r="K8" s="6" t="n">
        <f aca="false">IF(F8=0,0,J8/F8)</f>
        <v>0</v>
      </c>
      <c r="L8" s="4" t="s">
        <v>20</v>
      </c>
      <c r="M8" s="5" t="s">
        <v>38</v>
      </c>
    </row>
    <row r="9" customFormat="false" ht="42" hidden="false" customHeight="true" outlineLevel="0" collapsed="false">
      <c r="A9" s="4" t="s">
        <v>39</v>
      </c>
      <c r="B9" s="5" t="s">
        <v>40</v>
      </c>
      <c r="C9" s="5" t="s">
        <v>41</v>
      </c>
      <c r="D9" s="5" t="s">
        <v>42</v>
      </c>
      <c r="E9" s="4" t="s">
        <v>43</v>
      </c>
      <c r="F9" s="4" t="n">
        <f aca="false">COUNTA(P4_Qualite_Quarantaine!$A$2:$A$200)</f>
        <v>7</v>
      </c>
      <c r="G9" s="4" t="n">
        <f aca="false">COUNTIF(P4_Qualite_Quarantaine!$L$2:$L$200,"Non fait")</f>
        <v>7</v>
      </c>
      <c r="H9" s="4" t="n">
        <f aca="false">COUNTIF(P4_Qualite_Quarantaine!$L$2:$L$200,"En cours")</f>
        <v>0</v>
      </c>
      <c r="I9" s="4" t="n">
        <f aca="false">COUNTIF(P4_Qualite_Quarantaine!$L$2:$L$200,"À valider")</f>
        <v>0</v>
      </c>
      <c r="J9" s="4" t="n">
        <f aca="false">COUNTIF(P4_Qualite_Quarantaine!$L$2:$L$200,"Validé")</f>
        <v>0</v>
      </c>
      <c r="K9" s="6" t="n">
        <f aca="false">IF(F9=0,0,J9/F9)</f>
        <v>0</v>
      </c>
      <c r="L9" s="4" t="s">
        <v>20</v>
      </c>
      <c r="M9" s="5" t="s">
        <v>44</v>
      </c>
    </row>
    <row r="10" customFormat="false" ht="42" hidden="false" customHeight="true" outlineLevel="0" collapsed="false">
      <c r="A10" s="4" t="s">
        <v>45</v>
      </c>
      <c r="B10" s="5" t="s">
        <v>46</v>
      </c>
      <c r="C10" s="5" t="s">
        <v>47</v>
      </c>
      <c r="D10" s="5" t="s">
        <v>48</v>
      </c>
      <c r="E10" s="4" t="s">
        <v>32</v>
      </c>
      <c r="F10" s="4" t="n">
        <f aca="false">COUNTA(P5_Gold_API_UI!$A$2:$A$200)</f>
        <v>8</v>
      </c>
      <c r="G10" s="4" t="n">
        <f aca="false">COUNTIF(P5_Gold_API_UI!$L$2:$L$200,"Non fait")</f>
        <v>8</v>
      </c>
      <c r="H10" s="4" t="n">
        <f aca="false">COUNTIF(P5_Gold_API_UI!$L$2:$L$200,"En cours")</f>
        <v>0</v>
      </c>
      <c r="I10" s="4" t="n">
        <f aca="false">COUNTIF(P5_Gold_API_UI!$L$2:$L$200,"À valider")</f>
        <v>0</v>
      </c>
      <c r="J10" s="4" t="n">
        <f aca="false">COUNTIF(P5_Gold_API_UI!$L$2:$L$200,"Validé")</f>
        <v>0</v>
      </c>
      <c r="K10" s="6" t="n">
        <f aca="false">IF(F10=0,0,J10/F10)</f>
        <v>0</v>
      </c>
      <c r="L10" s="4" t="s">
        <v>20</v>
      </c>
      <c r="M10" s="5" t="s">
        <v>49</v>
      </c>
    </row>
    <row r="11" customFormat="false" ht="42" hidden="false" customHeight="true" outlineLevel="0" collapsed="false">
      <c r="A11" s="4" t="s">
        <v>50</v>
      </c>
      <c r="B11" s="5" t="s">
        <v>51</v>
      </c>
      <c r="C11" s="5" t="s">
        <v>52</v>
      </c>
      <c r="D11" s="5" t="s">
        <v>53</v>
      </c>
      <c r="E11" s="4" t="s">
        <v>32</v>
      </c>
      <c r="F11" s="4" t="n">
        <f aca="false">COUNTA(P6_Observabilite_Optim!$A$2:$A$200)</f>
        <v>9</v>
      </c>
      <c r="G11" s="4" t="n">
        <f aca="false">COUNTIF(P6_Observabilite_Optim!$L$2:$L$200,"Non fait")</f>
        <v>9</v>
      </c>
      <c r="H11" s="4" t="n">
        <f aca="false">COUNTIF(P6_Observabilite_Optim!$L$2:$L$200,"En cours")</f>
        <v>0</v>
      </c>
      <c r="I11" s="4" t="n">
        <f aca="false">COUNTIF(P6_Observabilite_Optim!$L$2:$L$200,"À valider")</f>
        <v>0</v>
      </c>
      <c r="J11" s="4" t="n">
        <f aca="false">COUNTIF(P6_Observabilite_Optim!$L$2:$L$200,"Validé")</f>
        <v>0</v>
      </c>
      <c r="K11" s="6" t="n">
        <f aca="false">IF(F11=0,0,J11/F11)</f>
        <v>0</v>
      </c>
      <c r="L11" s="4" t="s">
        <v>20</v>
      </c>
      <c r="M11" s="5" t="s">
        <v>54</v>
      </c>
    </row>
    <row r="12" customFormat="false" ht="42" hidden="false" customHeight="true" outlineLevel="0" collapsed="false">
      <c r="A12" s="4" t="s">
        <v>55</v>
      </c>
      <c r="B12" s="5" t="s">
        <v>56</v>
      </c>
      <c r="C12" s="5" t="s">
        <v>57</v>
      </c>
      <c r="D12" s="5" t="s">
        <v>58</v>
      </c>
      <c r="E12" s="4" t="s">
        <v>59</v>
      </c>
      <c r="F12" s="4" t="n">
        <f aca="false">COUNTA(P7_Portfolio_CV!$A$2:$A$200)</f>
        <v>8</v>
      </c>
      <c r="G12" s="4" t="n">
        <f aca="false">COUNTIF(P7_Portfolio_CV!$L$2:$L$200,"Non fait")</f>
        <v>8</v>
      </c>
      <c r="H12" s="4" t="n">
        <f aca="false">COUNTIF(P7_Portfolio_CV!$L$2:$L$200,"En cours")</f>
        <v>0</v>
      </c>
      <c r="I12" s="4" t="n">
        <f aca="false">COUNTIF(P7_Portfolio_CV!$L$2:$L$200,"À valider")</f>
        <v>0</v>
      </c>
      <c r="J12" s="4" t="n">
        <f aca="false">COUNTIF(P7_Portfolio_CV!$L$2:$L$200,"Validé")</f>
        <v>0</v>
      </c>
      <c r="K12" s="6" t="n">
        <f aca="false">IF(F12=0,0,J12/F12)</f>
        <v>0</v>
      </c>
      <c r="L12" s="4" t="s">
        <v>20</v>
      </c>
      <c r="M12" s="5" t="s">
        <v>60</v>
      </c>
    </row>
    <row r="13" customFormat="false" ht="15" hidden="false" customHeight="false" outlineLevel="0" collapsed="false">
      <c r="C13" s="7" t="s">
        <v>61</v>
      </c>
      <c r="F13" s="8" t="n">
        <f aca="false">SUM(F5:F12)</f>
        <v>64</v>
      </c>
      <c r="G13" s="8" t="n">
        <f aca="false">SUM(G5:G12)</f>
        <v>64</v>
      </c>
      <c r="H13" s="8" t="n">
        <f aca="false">SUM(H5:H12)</f>
        <v>0</v>
      </c>
      <c r="I13" s="8" t="n">
        <f aca="false">SUM(I5:I12)</f>
        <v>0</v>
      </c>
      <c r="J13" s="8" t="n">
        <f aca="false">SUM(J5:J12)</f>
        <v>0</v>
      </c>
      <c r="K13" s="9" t="n">
        <f aca="false">IF(F13=0,0,J13/F13)</f>
        <v>0</v>
      </c>
    </row>
    <row r="15" customFormat="false" ht="15" hidden="false" customHeight="false" outlineLevel="0" collapsed="false">
      <c r="A15" s="10" t="s">
        <v>62</v>
      </c>
    </row>
    <row r="16" customFormat="false" ht="15" hidden="false" customHeight="false" outlineLevel="0" collapsed="false">
      <c r="A16" s="3" t="s">
        <v>63</v>
      </c>
      <c r="B16" s="3" t="s">
        <v>64</v>
      </c>
      <c r="C16" s="3" t="s">
        <v>2</v>
      </c>
      <c r="D16" s="3" t="s">
        <v>65</v>
      </c>
      <c r="E16" s="3" t="s">
        <v>66</v>
      </c>
      <c r="F16" s="3" t="s">
        <v>67</v>
      </c>
      <c r="G16" s="3" t="s">
        <v>68</v>
      </c>
    </row>
    <row r="17" customFormat="false" ht="15" hidden="false" customHeight="false" outlineLevel="0" collapsed="false">
      <c r="A17" s="4" t="n">
        <f aca="false">P0_Fondations!B2</f>
        <v>1</v>
      </c>
      <c r="B17" s="4" t="str">
        <f aca="false">P0_Fondations!A2</f>
        <v>P0-01</v>
      </c>
      <c r="C17" s="4" t="s">
        <v>15</v>
      </c>
      <c r="D17" s="5" t="str">
        <f aca="false">P0_Fondations!C2</f>
        <v>Structure du repo &amp; outillage Python</v>
      </c>
      <c r="E17" s="4" t="str">
        <f aca="false">P0_Fondations!I2</f>
        <v>—</v>
      </c>
      <c r="F17" s="4" t="str">
        <f aca="false">P0_Fondations!H2</f>
        <v>Haiku</v>
      </c>
      <c r="G17" s="4" t="str">
        <f aca="false">P0_Fondations!L2</f>
        <v>Non fait</v>
      </c>
    </row>
    <row r="18" customFormat="false" ht="15" hidden="false" customHeight="false" outlineLevel="0" collapsed="false">
      <c r="A18" s="4" t="n">
        <f aca="false">P0_Fondations!B3</f>
        <v>2</v>
      </c>
      <c r="B18" s="4" t="str">
        <f aca="false">P0_Fondations!A3</f>
        <v>P0-02</v>
      </c>
      <c r="C18" s="4" t="s">
        <v>15</v>
      </c>
      <c r="D18" s="5" t="str">
        <f aca="false">P0_Fondations!C3</f>
        <v>Docker Compose local (MinIO, Postgres)</v>
      </c>
      <c r="E18" s="4" t="str">
        <f aca="false">P0_Fondations!I3</f>
        <v>P0-01</v>
      </c>
      <c r="F18" s="4" t="str">
        <f aca="false">P0_Fondations!H3</f>
        <v>Sonnet</v>
      </c>
      <c r="G18" s="4" t="str">
        <f aca="false">P0_Fondations!L3</f>
        <v>Non fait</v>
      </c>
    </row>
    <row r="19" customFormat="false" ht="15" hidden="false" customHeight="false" outlineLevel="0" collapsed="false">
      <c r="A19" s="4" t="n">
        <f aca="false">P0_Fondations!B4</f>
        <v>3</v>
      </c>
      <c r="B19" s="4" t="str">
        <f aca="false">P0_Fondations!A4</f>
        <v>P0-03</v>
      </c>
      <c r="C19" s="4" t="s">
        <v>15</v>
      </c>
      <c r="D19" s="5" t="str">
        <f aca="false">P0_Fondations!C4</f>
        <v>Configuration &amp; gestion des secrets</v>
      </c>
      <c r="E19" s="4" t="str">
        <f aca="false">P0_Fondations!I4</f>
        <v>P0-01</v>
      </c>
      <c r="F19" s="4" t="str">
        <f aca="false">P0_Fondations!H4</f>
        <v>Sonnet</v>
      </c>
      <c r="G19" s="4" t="str">
        <f aca="false">P0_Fondations!L4</f>
        <v>Non fait</v>
      </c>
    </row>
    <row r="20" customFormat="false" ht="15" hidden="false" customHeight="false" outlineLevel="0" collapsed="false">
      <c r="A20" s="4" t="n">
        <f aca="false">P0_Fondations!B5</f>
        <v>4</v>
      </c>
      <c r="B20" s="4" t="str">
        <f aca="false">P0_Fondations!A5</f>
        <v>P0-04</v>
      </c>
      <c r="C20" s="4" t="s">
        <v>15</v>
      </c>
      <c r="D20" s="5" t="str">
        <f aca="false">P0_Fondations!C5</f>
        <v>Logging structuré &amp; modèle d'erreurs commun</v>
      </c>
      <c r="E20" s="4" t="str">
        <f aca="false">P0_Fondations!I5</f>
        <v>P0-01</v>
      </c>
      <c r="F20" s="4" t="str">
        <f aca="false">P0_Fondations!H5</f>
        <v>Sonnet</v>
      </c>
      <c r="G20" s="4" t="str">
        <f aca="false">P0_Fondations!L5</f>
        <v>Non fait</v>
      </c>
    </row>
    <row r="21" customFormat="false" ht="15" hidden="false" customHeight="false" outlineLevel="0" collapsed="false">
      <c r="A21" s="4" t="n">
        <f aca="false">P0_Fondations!B6</f>
        <v>5</v>
      </c>
      <c r="B21" s="4" t="str">
        <f aca="false">P0_Fondations!A6</f>
        <v>P0-05</v>
      </c>
      <c r="C21" s="4" t="s">
        <v>15</v>
      </c>
      <c r="D21" s="5" t="str">
        <f aca="false">P0_Fondations!C6</f>
        <v>CI GitHub Actions</v>
      </c>
      <c r="E21" s="4" t="str">
        <f aca="false">P0_Fondations!I6</f>
        <v>P0-01</v>
      </c>
      <c r="F21" s="4" t="str">
        <f aca="false">P0_Fondations!H6</f>
        <v>Sonnet</v>
      </c>
      <c r="G21" s="4" t="str">
        <f aca="false">P0_Fondations!L6</f>
        <v>Non fait</v>
      </c>
    </row>
    <row r="22" customFormat="false" ht="15" hidden="false" customHeight="false" outlineLevel="0" collapsed="false">
      <c r="A22" s="4" t="n">
        <f aca="false">P0_Fondations!B7</f>
        <v>6</v>
      </c>
      <c r="B22" s="4" t="str">
        <f aca="false">P0_Fondations!A7</f>
        <v>P0-06</v>
      </c>
      <c r="C22" s="4" t="s">
        <v>15</v>
      </c>
      <c r="D22" s="5" t="str">
        <f aca="false">P0_Fondations!C7</f>
        <v>Installer graphify et cartographier le repo</v>
      </c>
      <c r="E22" s="4" t="str">
        <f aca="false">P0_Fondations!I7</f>
        <v>P0-01</v>
      </c>
      <c r="F22" s="4" t="str">
        <f aca="false">P0_Fondations!H7</f>
        <v>Haiku</v>
      </c>
      <c r="G22" s="4" t="str">
        <f aca="false">P0_Fondations!L7</f>
        <v>Non fait</v>
      </c>
    </row>
    <row r="23" customFormat="false" ht="15" hidden="false" customHeight="false" outlineLevel="0" collapsed="false">
      <c r="A23" s="4" t="n">
        <f aca="false">P0_Fondations!B8</f>
        <v>7</v>
      </c>
      <c r="B23" s="4" t="str">
        <f aca="false">P0_Fondations!A8</f>
        <v>P0-07</v>
      </c>
      <c r="C23" s="4" t="s">
        <v>15</v>
      </c>
      <c r="D23" s="5" t="str">
        <f aca="false">P0_Fondations!C8</f>
        <v>ADR d'architecture fondatrices</v>
      </c>
      <c r="E23" s="4" t="str">
        <f aca="false">P0_Fondations!I8</f>
        <v>P0-02</v>
      </c>
      <c r="F23" s="4" t="str">
        <f aca="false">P0_Fondations!H8</f>
        <v>Opus</v>
      </c>
      <c r="G23" s="4" t="str">
        <f aca="false">P0_Fondations!L8</f>
        <v>Non fait</v>
      </c>
    </row>
    <row r="24" customFormat="false" ht="15" hidden="false" customHeight="false" outlineLevel="0" collapsed="false">
      <c r="A24" s="4" t="n">
        <f aca="false">P1_Ingestion_Bronze!B2</f>
        <v>8</v>
      </c>
      <c r="B24" s="4" t="str">
        <f aca="false">P1_Ingestion_Bronze!A2</f>
        <v>P1-01</v>
      </c>
      <c r="C24" s="4" t="s">
        <v>22</v>
      </c>
      <c r="D24" s="5" t="str">
        <f aca="false">P1_Ingestion_Bronze!C2</f>
        <v>Contrat de source &amp; registry de sources</v>
      </c>
      <c r="E24" s="4" t="str">
        <f aca="false">P1_Ingestion_Bronze!I2</f>
        <v>P0-04</v>
      </c>
      <c r="F24" s="4" t="str">
        <f aca="false">P1_Ingestion_Bronze!H2</f>
        <v>Sonnet</v>
      </c>
      <c r="G24" s="4" t="str">
        <f aca="false">P1_Ingestion_Bronze!L2</f>
        <v>Non fait</v>
      </c>
    </row>
    <row r="25" customFormat="false" ht="15" hidden="false" customHeight="false" outlineLevel="0" collapsed="false">
      <c r="A25" s="4" t="n">
        <f aca="false">P1_Ingestion_Bronze!B3</f>
        <v>9</v>
      </c>
      <c r="B25" s="4" t="str">
        <f aca="false">P1_Ingestion_Bronze!A3</f>
        <v>P1-02</v>
      </c>
      <c r="C25" s="4" t="s">
        <v>22</v>
      </c>
      <c r="D25" s="5" t="str">
        <f aca="false">P1_Ingestion_Bronze!C3</f>
        <v>Connecteur fichiers (CSV/Excel/JSON)</v>
      </c>
      <c r="E25" s="4" t="str">
        <f aca="false">P1_Ingestion_Bronze!I3</f>
        <v>P1-01</v>
      </c>
      <c r="F25" s="4" t="str">
        <f aca="false">P1_Ingestion_Bronze!H3</f>
        <v>Sonnet</v>
      </c>
      <c r="G25" s="4" t="str">
        <f aca="false">P1_Ingestion_Bronze!L3</f>
        <v>Non fait</v>
      </c>
    </row>
    <row r="26" customFormat="false" ht="15" hidden="false" customHeight="false" outlineLevel="0" collapsed="false">
      <c r="A26" s="4" t="n">
        <f aca="false">P1_Ingestion_Bronze!B4</f>
        <v>10</v>
      </c>
      <c r="B26" s="4" t="str">
        <f aca="false">P1_Ingestion_Bronze!A4</f>
        <v>P1-03</v>
      </c>
      <c r="C26" s="4" t="s">
        <v>22</v>
      </c>
      <c r="D26" s="5" t="str">
        <f aca="false">P1_Ingestion_Bronze!C4</f>
        <v>Connecteur REST API</v>
      </c>
      <c r="E26" s="4" t="str">
        <f aca="false">P1_Ingestion_Bronze!I4</f>
        <v>P1-01</v>
      </c>
      <c r="F26" s="4" t="str">
        <f aca="false">P1_Ingestion_Bronze!H4</f>
        <v>Sonnet</v>
      </c>
      <c r="G26" s="4" t="str">
        <f aca="false">P1_Ingestion_Bronze!L4</f>
        <v>Non fait</v>
      </c>
    </row>
    <row r="27" customFormat="false" ht="15" hidden="false" customHeight="false" outlineLevel="0" collapsed="false">
      <c r="A27" s="4" t="n">
        <f aca="false">P1_Ingestion_Bronze!B5</f>
        <v>11</v>
      </c>
      <c r="B27" s="4" t="str">
        <f aca="false">P1_Ingestion_Bronze!A5</f>
        <v>P1-04</v>
      </c>
      <c r="C27" s="4" t="s">
        <v>22</v>
      </c>
      <c r="D27" s="5" t="str">
        <f aca="false">P1_Ingestion_Bronze!C5</f>
        <v>Connecteur base de données (incrémental)</v>
      </c>
      <c r="E27" s="4" t="str">
        <f aca="false">P1_Ingestion_Bronze!I5</f>
        <v>P1-01</v>
      </c>
      <c r="F27" s="4" t="str">
        <f aca="false">P1_Ingestion_Bronze!H5</f>
        <v>Sonnet</v>
      </c>
      <c r="G27" s="4" t="str">
        <f aca="false">P1_Ingestion_Bronze!L5</f>
        <v>Non fait</v>
      </c>
    </row>
    <row r="28" customFormat="false" ht="15" hidden="false" customHeight="false" outlineLevel="0" collapsed="false">
      <c r="A28" s="4" t="n">
        <f aca="false">P1_Ingestion_Bronze!B6</f>
        <v>12</v>
      </c>
      <c r="B28" s="4" t="str">
        <f aca="false">P1_Ingestion_Bronze!A6</f>
        <v>P1-05</v>
      </c>
      <c r="C28" s="4" t="s">
        <v>22</v>
      </c>
      <c r="D28" s="5" t="str">
        <f aca="false">P1_Ingestion_Bronze!C6</f>
        <v>Écriture Bronze immuable</v>
      </c>
      <c r="E28" s="4" t="str">
        <f aca="false">P1_Ingestion_Bronze!I6</f>
        <v>P1-02, P0-02</v>
      </c>
      <c r="F28" s="4" t="str">
        <f aca="false">P1_Ingestion_Bronze!H6</f>
        <v>Sonnet</v>
      </c>
      <c r="G28" s="4" t="str">
        <f aca="false">P1_Ingestion_Bronze!L6</f>
        <v>Non fait</v>
      </c>
    </row>
    <row r="29" customFormat="false" ht="15" hidden="false" customHeight="false" outlineLevel="0" collapsed="false">
      <c r="A29" s="4" t="n">
        <f aca="false">P1_Ingestion_Bronze!B7</f>
        <v>13</v>
      </c>
      <c r="B29" s="4" t="str">
        <f aca="false">P1_Ingestion_Bronze!A7</f>
        <v>P1-06</v>
      </c>
      <c r="C29" s="4" t="s">
        <v>22</v>
      </c>
      <c r="D29" s="5" t="str">
        <f aca="false">P1_Ingestion_Bronze!C7</f>
        <v>Gestion des erreurs d'ingestion &amp; dead-letter</v>
      </c>
      <c r="E29" s="4" t="str">
        <f aca="false">P1_Ingestion_Bronze!I7</f>
        <v>P1-05</v>
      </c>
      <c r="F29" s="4" t="str">
        <f aca="false">P1_Ingestion_Bronze!H7</f>
        <v>Sonnet</v>
      </c>
      <c r="G29" s="4" t="str">
        <f aca="false">P1_Ingestion_Bronze!L7</f>
        <v>Non fait</v>
      </c>
    </row>
    <row r="30" customFormat="false" ht="15" hidden="false" customHeight="false" outlineLevel="0" collapsed="false">
      <c r="A30" s="4" t="n">
        <f aca="false">P1_Ingestion_Bronze!B8</f>
        <v>14</v>
      </c>
      <c r="B30" s="4" t="str">
        <f aca="false">P1_Ingestion_Bronze!A8</f>
        <v>P1-07</v>
      </c>
      <c r="C30" s="4" t="s">
        <v>22</v>
      </c>
      <c r="D30" s="5" t="str">
        <f aca="false">P1_Ingestion_Bronze!C8</f>
        <v>Simulateur de dérive de schéma</v>
      </c>
      <c r="E30" s="4" t="str">
        <f aca="false">P1_Ingestion_Bronze!I8</f>
        <v>P1-02</v>
      </c>
      <c r="F30" s="4" t="str">
        <f aca="false">P1_Ingestion_Bronze!H8</f>
        <v>Sonnet</v>
      </c>
      <c r="G30" s="4" t="str">
        <f aca="false">P1_Ingestion_Bronze!L8</f>
        <v>Non fait</v>
      </c>
    </row>
    <row r="31" customFormat="false" ht="15" hidden="false" customHeight="false" outlineLevel="0" collapsed="false">
      <c r="A31" s="4" t="n">
        <f aca="false">P1_Ingestion_Bronze!B9</f>
        <v>15</v>
      </c>
      <c r="B31" s="4" t="str">
        <f aca="false">P1_Ingestion_Bronze!A9</f>
        <v>P1-08</v>
      </c>
      <c r="C31" s="4" t="s">
        <v>22</v>
      </c>
      <c r="D31" s="5" t="str">
        <f aca="false">P1_Ingestion_Bronze!C9</f>
        <v>Archivage &amp; cycle de vie Bronze</v>
      </c>
      <c r="E31" s="4" t="str">
        <f aca="false">P1_Ingestion_Bronze!I9</f>
        <v>P1-05</v>
      </c>
      <c r="F31" s="4" t="str">
        <f aca="false">P1_Ingestion_Bronze!H9</f>
        <v>Sonnet</v>
      </c>
      <c r="G31" s="4" t="str">
        <f aca="false">P1_Ingestion_Bronze!L9</f>
        <v>Non fait</v>
      </c>
    </row>
    <row r="32" customFormat="false" ht="15" hidden="false" customHeight="false" outlineLevel="0" collapsed="false">
      <c r="A32" s="4" t="n">
        <f aca="false">P1_Ingestion_Bronze!B10</f>
        <v>16</v>
      </c>
      <c r="B32" s="4" t="str">
        <f aca="false">P1_Ingestion_Bronze!A10</f>
        <v>P1-09</v>
      </c>
      <c r="C32" s="4" t="s">
        <v>22</v>
      </c>
      <c r="D32" s="5" t="str">
        <f aca="false">P1_Ingestion_Bronze!C10</f>
        <v>Assets &amp; sensors Dagster d'ingestion</v>
      </c>
      <c r="E32" s="4" t="str">
        <f aca="false">P1_Ingestion_Bronze!I10</f>
        <v>P1-05, P1-06</v>
      </c>
      <c r="F32" s="4" t="str">
        <f aca="false">P1_Ingestion_Bronze!H10</f>
        <v>Sonnet</v>
      </c>
      <c r="G32" s="4" t="str">
        <f aca="false">P1_Ingestion_Bronze!L10</f>
        <v>Non fait</v>
      </c>
    </row>
    <row r="33" customFormat="false" ht="15" hidden="false" customHeight="false" outlineLevel="0" collapsed="false">
      <c r="A33" s="4" t="n">
        <f aca="false">P2_Schema_Evolution!B2</f>
        <v>17</v>
      </c>
      <c r="B33" s="4" t="str">
        <f aca="false">P2_Schema_Evolution!A2</f>
        <v>P2-01</v>
      </c>
      <c r="C33" s="4" t="s">
        <v>28</v>
      </c>
      <c r="D33" s="5" t="str">
        <f aca="false">P2_Schema_Evolution!C2</f>
        <v>Profilage &amp; empreinte de schéma</v>
      </c>
      <c r="E33" s="4" t="str">
        <f aca="false">P2_Schema_Evolution!I2</f>
        <v>P1-05</v>
      </c>
      <c r="F33" s="4" t="str">
        <f aca="false">P2_Schema_Evolution!H2</f>
        <v>Sonnet</v>
      </c>
      <c r="G33" s="4" t="str">
        <f aca="false">P2_Schema_Evolution!L2</f>
        <v>Non fait</v>
      </c>
    </row>
    <row r="34" customFormat="false" ht="15" hidden="false" customHeight="false" outlineLevel="0" collapsed="false">
      <c r="A34" s="4" t="n">
        <f aca="false">P2_Schema_Evolution!B3</f>
        <v>18</v>
      </c>
      <c r="B34" s="4" t="str">
        <f aca="false">P2_Schema_Evolution!A3</f>
        <v>P2-02</v>
      </c>
      <c r="C34" s="4" t="s">
        <v>28</v>
      </c>
      <c r="D34" s="5" t="str">
        <f aca="false">P2_Schema_Evolution!C3</f>
        <v>Schema registry versionné</v>
      </c>
      <c r="E34" s="4" t="str">
        <f aca="false">P2_Schema_Evolution!I3</f>
        <v>P2-01, P0-02</v>
      </c>
      <c r="F34" s="4" t="str">
        <f aca="false">P2_Schema_Evolution!H3</f>
        <v>Opus</v>
      </c>
      <c r="G34" s="4" t="str">
        <f aca="false">P2_Schema_Evolution!L3</f>
        <v>Non fait</v>
      </c>
    </row>
    <row r="35" customFormat="false" ht="15" hidden="false" customHeight="false" outlineLevel="0" collapsed="false">
      <c r="A35" s="4" t="n">
        <f aca="false">P2_Schema_Evolution!B4</f>
        <v>19</v>
      </c>
      <c r="B35" s="4" t="str">
        <f aca="false">P2_Schema_Evolution!A4</f>
        <v>P2-03</v>
      </c>
      <c r="C35" s="4" t="s">
        <v>28</v>
      </c>
      <c r="D35" s="5" t="str">
        <f aca="false">P2_Schema_Evolution!C4</f>
        <v>Moteur de diff de schémas</v>
      </c>
      <c r="E35" s="4" t="str">
        <f aca="false">P2_Schema_Evolution!I4</f>
        <v>P2-02, P1-07</v>
      </c>
      <c r="F35" s="4" t="str">
        <f aca="false">P2_Schema_Evolution!H4</f>
        <v>Opus</v>
      </c>
      <c r="G35" s="4" t="str">
        <f aca="false">P2_Schema_Evolution!L4</f>
        <v>Non fait</v>
      </c>
    </row>
    <row r="36" customFormat="false" ht="15" hidden="false" customHeight="false" outlineLevel="0" collapsed="false">
      <c r="A36" s="4" t="n">
        <f aca="false">P2_Schema_Evolution!B5</f>
        <v>20</v>
      </c>
      <c r="B36" s="4" t="str">
        <f aca="false">P2_Schema_Evolution!A5</f>
        <v>P2-04</v>
      </c>
      <c r="C36" s="4" t="s">
        <v>28</v>
      </c>
      <c r="D36" s="5" t="str">
        <f aca="false">P2_Schema_Evolution!C5</f>
        <v>Classification d'impact &amp; politique d'évolution</v>
      </c>
      <c r="E36" s="4" t="str">
        <f aca="false">P2_Schema_Evolution!I5</f>
        <v>P2-03</v>
      </c>
      <c r="F36" s="4" t="str">
        <f aca="false">P2_Schema_Evolution!H5</f>
        <v>Opus</v>
      </c>
      <c r="G36" s="4" t="str">
        <f aca="false">P2_Schema_Evolution!L5</f>
        <v>Non fait</v>
      </c>
    </row>
    <row r="37" customFormat="false" ht="15" hidden="false" customHeight="false" outlineLevel="0" collapsed="false">
      <c r="A37" s="4" t="n">
        <f aca="false">P2_Schema_Evolution!B6</f>
        <v>21</v>
      </c>
      <c r="B37" s="4" t="str">
        <f aca="false">P2_Schema_Evolution!A6</f>
        <v>P2-05</v>
      </c>
      <c r="C37" s="4" t="s">
        <v>28</v>
      </c>
      <c r="D37" s="5" t="str">
        <f aca="false">P2_Schema_Evolution!C6</f>
        <v>Rapport d'évolution &amp; événements</v>
      </c>
      <c r="E37" s="4" t="str">
        <f aca="false">P2_Schema_Evolution!I6</f>
        <v>P2-04</v>
      </c>
      <c r="F37" s="4" t="str">
        <f aca="false">P2_Schema_Evolution!H6</f>
        <v>Haiku</v>
      </c>
      <c r="G37" s="4" t="str">
        <f aca="false">P2_Schema_Evolution!L6</f>
        <v>Non fait</v>
      </c>
    </row>
    <row r="38" customFormat="false" ht="15" hidden="false" customHeight="false" outlineLevel="0" collapsed="false">
      <c r="A38" s="4" t="n">
        <f aca="false">P2_Schema_Evolution!B7</f>
        <v>22</v>
      </c>
      <c r="B38" s="4" t="str">
        <f aca="false">P2_Schema_Evolution!A7</f>
        <v>P2-06</v>
      </c>
      <c r="C38" s="4" t="s">
        <v>28</v>
      </c>
      <c r="D38" s="5" t="str">
        <f aca="false">P2_Schema_Evolution!C7</f>
        <v>Intégration à l'ingestion (détection automatique)</v>
      </c>
      <c r="E38" s="4" t="str">
        <f aca="false">P2_Schema_Evolution!I7</f>
        <v>P2-04, P1-09</v>
      </c>
      <c r="F38" s="4" t="str">
        <f aca="false">P2_Schema_Evolution!H7</f>
        <v>Sonnet</v>
      </c>
      <c r="G38" s="4" t="str">
        <f aca="false">P2_Schema_Evolution!L7</f>
        <v>Non fait</v>
      </c>
    </row>
    <row r="39" customFormat="false" ht="15" hidden="false" customHeight="false" outlineLevel="0" collapsed="false">
      <c r="A39" s="4" t="n">
        <f aca="false">P2_Schema_Evolution!B8</f>
        <v>23</v>
      </c>
      <c r="B39" s="4" t="str">
        <f aca="false">P2_Schema_Evolution!A8</f>
        <v>P2-07</v>
      </c>
      <c r="C39" s="4" t="s">
        <v>28</v>
      </c>
      <c r="D39" s="5" t="str">
        <f aca="false">P2_Schema_Evolution!C8</f>
        <v>Tests de propriétés du diff</v>
      </c>
      <c r="E39" s="4" t="str">
        <f aca="false">P2_Schema_Evolution!I8</f>
        <v>P2-03</v>
      </c>
      <c r="F39" s="4" t="str">
        <f aca="false">P2_Schema_Evolution!H8</f>
        <v>Sonnet</v>
      </c>
      <c r="G39" s="4" t="str">
        <f aca="false">P2_Schema_Evolution!L8</f>
        <v>Non fait</v>
      </c>
    </row>
    <row r="40" customFormat="false" ht="15" hidden="false" customHeight="false" outlineLevel="0" collapsed="false">
      <c r="A40" s="4" t="n">
        <f aca="false">P3_Mapping_Silver!B2</f>
        <v>24</v>
      </c>
      <c r="B40" s="4" t="str">
        <f aca="false">P3_Mapping_Silver!A2</f>
        <v>P3-01</v>
      </c>
      <c r="C40" s="4" t="s">
        <v>34</v>
      </c>
      <c r="D40" s="5" t="str">
        <f aca="false">P3_Mapping_Silver!C2</f>
        <v>Modèle canonique &amp; dictionnaire sémantique</v>
      </c>
      <c r="E40" s="4" t="str">
        <f aca="false">P3_Mapping_Silver!I2</f>
        <v>P2-01</v>
      </c>
      <c r="F40" s="4" t="str">
        <f aca="false">P3_Mapping_Silver!H2</f>
        <v>Sonnet</v>
      </c>
      <c r="G40" s="4" t="str">
        <f aca="false">P3_Mapping_Silver!L2</f>
        <v>Non fait</v>
      </c>
    </row>
    <row r="41" customFormat="false" ht="15" hidden="false" customHeight="false" outlineLevel="0" collapsed="false">
      <c r="A41" s="4" t="n">
        <f aca="false">P3_Mapping_Silver!B3</f>
        <v>25</v>
      </c>
      <c r="B41" s="4" t="str">
        <f aca="false">P3_Mapping_Silver!A3</f>
        <v>P3-02</v>
      </c>
      <c r="C41" s="4" t="s">
        <v>34</v>
      </c>
      <c r="D41" s="5" t="str">
        <f aca="false">P3_Mapping_Silver!C3</f>
        <v>Mapping par règles &amp; fuzzy</v>
      </c>
      <c r="E41" s="4" t="str">
        <f aca="false">P3_Mapping_Silver!I3</f>
        <v>P3-01</v>
      </c>
      <c r="F41" s="4" t="str">
        <f aca="false">P3_Mapping_Silver!H3</f>
        <v>Sonnet</v>
      </c>
      <c r="G41" s="4" t="str">
        <f aca="false">P3_Mapping_Silver!L3</f>
        <v>Non fait</v>
      </c>
    </row>
    <row r="42" customFormat="false" ht="15" hidden="false" customHeight="false" outlineLevel="0" collapsed="false">
      <c r="A42" s="4" t="n">
        <f aca="false">P3_Mapping_Silver!B4</f>
        <v>26</v>
      </c>
      <c r="B42" s="4" t="str">
        <f aca="false">P3_Mapping_Silver!A4</f>
        <v>P3-03</v>
      </c>
      <c r="C42" s="4" t="s">
        <v>34</v>
      </c>
      <c r="D42" s="5" t="str">
        <f aca="false">P3_Mapping_Silver!C4</f>
        <v>Mapping assisté par LLM + RAG</v>
      </c>
      <c r="E42" s="4" t="str">
        <f aca="false">P3_Mapping_Silver!I4</f>
        <v>P3-02</v>
      </c>
      <c r="F42" s="4" t="str">
        <f aca="false">P3_Mapping_Silver!H4</f>
        <v>Opus</v>
      </c>
      <c r="G42" s="4" t="str">
        <f aca="false">P3_Mapping_Silver!L4</f>
        <v>Non fait</v>
      </c>
    </row>
    <row r="43" customFormat="false" ht="15" hidden="false" customHeight="false" outlineLevel="0" collapsed="false">
      <c r="A43" s="4" t="n">
        <f aca="false">P3_Mapping_Silver!B5</f>
        <v>27</v>
      </c>
      <c r="B43" s="4" t="str">
        <f aca="false">P3_Mapping_Silver!A5</f>
        <v>P3-04</v>
      </c>
      <c r="C43" s="4" t="s">
        <v>34</v>
      </c>
      <c r="D43" s="5" t="str">
        <f aca="false">P3_Mapping_Silver!C5</f>
        <v>Politique de décision &amp; revue humaine</v>
      </c>
      <c r="E43" s="4" t="str">
        <f aca="false">P3_Mapping_Silver!I5</f>
        <v>P3-02, P3-03</v>
      </c>
      <c r="F43" s="4" t="str">
        <f aca="false">P3_Mapping_Silver!H5</f>
        <v>Opus</v>
      </c>
      <c r="G43" s="4" t="str">
        <f aca="false">P3_Mapping_Silver!L5</f>
        <v>Non fait</v>
      </c>
    </row>
    <row r="44" customFormat="false" ht="15" hidden="false" customHeight="false" outlineLevel="0" collapsed="false">
      <c r="A44" s="4" t="n">
        <f aca="false">P3_Mapping_Silver!B6</f>
        <v>28</v>
      </c>
      <c r="B44" s="4" t="str">
        <f aca="false">P3_Mapping_Silver!A6</f>
        <v>P3-05</v>
      </c>
      <c r="C44" s="4" t="s">
        <v>34</v>
      </c>
      <c r="D44" s="5" t="str">
        <f aca="false">P3_Mapping_Silver!C6</f>
        <v>Transformations de types sûres</v>
      </c>
      <c r="E44" s="4" t="str">
        <f aca="false">P3_Mapping_Silver!I6</f>
        <v>P3-04</v>
      </c>
      <c r="F44" s="4" t="str">
        <f aca="false">P3_Mapping_Silver!H6</f>
        <v>Opus</v>
      </c>
      <c r="G44" s="4" t="str">
        <f aca="false">P3_Mapping_Silver!L6</f>
        <v>Non fait</v>
      </c>
    </row>
    <row r="45" customFormat="false" ht="15" hidden="false" customHeight="false" outlineLevel="0" collapsed="false">
      <c r="A45" s="4" t="n">
        <f aca="false">P3_Mapping_Silver!B7</f>
        <v>29</v>
      </c>
      <c r="B45" s="4" t="str">
        <f aca="false">P3_Mapping_Silver!A7</f>
        <v>P3-06</v>
      </c>
      <c r="C45" s="4" t="s">
        <v>34</v>
      </c>
      <c r="D45" s="5" t="str">
        <f aca="false">P3_Mapping_Silver!C7</f>
        <v>Nettoyage &amp; normalisation</v>
      </c>
      <c r="E45" s="4" t="str">
        <f aca="false">P3_Mapping_Silver!I7</f>
        <v>P3-05</v>
      </c>
      <c r="F45" s="4" t="str">
        <f aca="false">P3_Mapping_Silver!H7</f>
        <v>Sonnet</v>
      </c>
      <c r="G45" s="4" t="str">
        <f aca="false">P3_Mapping_Silver!L7</f>
        <v>Non fait</v>
      </c>
    </row>
    <row r="46" customFormat="false" ht="15" hidden="false" customHeight="false" outlineLevel="0" collapsed="false">
      <c r="A46" s="4" t="n">
        <f aca="false">P3_Mapping_Silver!B8</f>
        <v>30</v>
      </c>
      <c r="B46" s="4" t="str">
        <f aca="false">P3_Mapping_Silver!A8</f>
        <v>P3-07</v>
      </c>
      <c r="C46" s="4" t="s">
        <v>34</v>
      </c>
      <c r="D46" s="5" t="str">
        <f aca="false">P3_Mapping_Silver!C8</f>
        <v>Déduplication</v>
      </c>
      <c r="E46" s="4" t="str">
        <f aca="false">P3_Mapping_Silver!I8</f>
        <v>P3-06</v>
      </c>
      <c r="F46" s="4" t="str">
        <f aca="false">P3_Mapping_Silver!H8</f>
        <v>Sonnet</v>
      </c>
      <c r="G46" s="4" t="str">
        <f aca="false">P3_Mapping_Silver!L8</f>
        <v>Non fait</v>
      </c>
    </row>
    <row r="47" customFormat="false" ht="15" hidden="false" customHeight="false" outlineLevel="0" collapsed="false">
      <c r="A47" s="4" t="n">
        <f aca="false">P3_Mapping_Silver!B9</f>
        <v>31</v>
      </c>
      <c r="B47" s="4" t="str">
        <f aca="false">P3_Mapping_Silver!A9</f>
        <v>P3-08</v>
      </c>
      <c r="C47" s="4" t="s">
        <v>34</v>
      </c>
      <c r="D47" s="5" t="str">
        <f aca="false">P3_Mapping_Silver!C9</f>
        <v>Écriture Silver &amp; apprentissage du dictionnaire</v>
      </c>
      <c r="E47" s="4" t="str">
        <f aca="false">P3_Mapping_Silver!I9</f>
        <v>P3-07</v>
      </c>
      <c r="F47" s="4" t="str">
        <f aca="false">P3_Mapping_Silver!H9</f>
        <v>Sonnet</v>
      </c>
      <c r="G47" s="4" t="str">
        <f aca="false">P3_Mapping_Silver!L9</f>
        <v>Non fait</v>
      </c>
    </row>
    <row r="48" customFormat="false" ht="15" hidden="false" customHeight="false" outlineLevel="0" collapsed="false">
      <c r="A48" s="4" t="n">
        <f aca="false">P3_Mapping_Silver!B10</f>
        <v>32</v>
      </c>
      <c r="B48" s="4" t="str">
        <f aca="false">P3_Mapping_Silver!A10</f>
        <v>P3-09</v>
      </c>
      <c r="C48" s="4" t="s">
        <v>34</v>
      </c>
      <c r="D48" s="5" t="str">
        <f aca="false">P3_Mapping_Silver!C10</f>
        <v>Évaluation du mapping (jeu annoté)</v>
      </c>
      <c r="E48" s="4" t="str">
        <f aca="false">P3_Mapping_Silver!I10</f>
        <v>P3-03, P3-08</v>
      </c>
      <c r="F48" s="4" t="str">
        <f aca="false">P3_Mapping_Silver!H10</f>
        <v>Sonnet</v>
      </c>
      <c r="G48" s="4" t="str">
        <f aca="false">P3_Mapping_Silver!L10</f>
        <v>Non fait</v>
      </c>
    </row>
    <row r="49" customFormat="false" ht="15" hidden="false" customHeight="false" outlineLevel="0" collapsed="false">
      <c r="A49" s="4" t="n">
        <f aca="false">P4_Qualite_Quarantaine!B2</f>
        <v>33</v>
      </c>
      <c r="B49" s="4" t="str">
        <f aca="false">P4_Qualite_Quarantaine!A2</f>
        <v>P4-01</v>
      </c>
      <c r="C49" s="4" t="s">
        <v>39</v>
      </c>
      <c r="D49" s="5" t="str">
        <f aca="false">P4_Qualite_Quarantaine!C2</f>
        <v>Moteur de règles qualité</v>
      </c>
      <c r="E49" s="4" t="str">
        <f aca="false">P4_Qualite_Quarantaine!I2</f>
        <v>P3-08</v>
      </c>
      <c r="F49" s="4" t="str">
        <f aca="false">P4_Qualite_Quarantaine!H2</f>
        <v>Sonnet</v>
      </c>
      <c r="G49" s="4" t="str">
        <f aca="false">P4_Qualite_Quarantaine!L2</f>
        <v>Non fait</v>
      </c>
    </row>
    <row r="50" customFormat="false" ht="15" hidden="false" customHeight="false" outlineLevel="0" collapsed="false">
      <c r="A50" s="4" t="n">
        <f aca="false">P4_Qualite_Quarantaine!B3</f>
        <v>34</v>
      </c>
      <c r="B50" s="4" t="str">
        <f aca="false">P4_Qualite_Quarantaine!A3</f>
        <v>P4-02</v>
      </c>
      <c r="C50" s="4" t="s">
        <v>39</v>
      </c>
      <c r="D50" s="5" t="str">
        <f aca="false">P4_Qualite_Quarantaine!C3</f>
        <v>Anomalies &amp; dérive de distribution</v>
      </c>
      <c r="E50" s="4" t="str">
        <f aca="false">P4_Qualite_Quarantaine!I3</f>
        <v>P4-01</v>
      </c>
      <c r="F50" s="4" t="str">
        <f aca="false">P4_Qualite_Quarantaine!H3</f>
        <v>Sonnet</v>
      </c>
      <c r="G50" s="4" t="str">
        <f aca="false">P4_Qualite_Quarantaine!L3</f>
        <v>Non fait</v>
      </c>
    </row>
    <row r="51" customFormat="false" ht="15" hidden="false" customHeight="false" outlineLevel="0" collapsed="false">
      <c r="A51" s="4" t="n">
        <f aca="false">P4_Qualite_Quarantaine!B4</f>
        <v>35</v>
      </c>
      <c r="B51" s="4" t="str">
        <f aca="false">P4_Qualite_Quarantaine!A4</f>
        <v>P4-03</v>
      </c>
      <c r="C51" s="4" t="s">
        <v>39</v>
      </c>
      <c r="D51" s="5" t="str">
        <f aca="false">P4_Qualite_Quarantaine!C4</f>
        <v>Score de qualité</v>
      </c>
      <c r="E51" s="4" t="str">
        <f aca="false">P4_Qualite_Quarantaine!I4</f>
        <v>P4-01</v>
      </c>
      <c r="F51" s="4" t="str">
        <f aca="false">P4_Qualite_Quarantaine!H4</f>
        <v>Sonnet</v>
      </c>
      <c r="G51" s="4" t="str">
        <f aca="false">P4_Qualite_Quarantaine!L4</f>
        <v>Non fait</v>
      </c>
    </row>
    <row r="52" customFormat="false" ht="15" hidden="false" customHeight="false" outlineLevel="0" collapsed="false">
      <c r="A52" s="4" t="n">
        <f aca="false">P4_Qualite_Quarantaine!B5</f>
        <v>36</v>
      </c>
      <c r="B52" s="4" t="str">
        <f aca="false">P4_Qualite_Quarantaine!A5</f>
        <v>P4-04</v>
      </c>
      <c r="C52" s="4" t="s">
        <v>39</v>
      </c>
      <c r="D52" s="5" t="str">
        <f aca="false">P4_Qualite_Quarantaine!C5</f>
        <v>Quarantaine dynamique</v>
      </c>
      <c r="E52" s="4" t="str">
        <f aca="false">P4_Qualite_Quarantaine!I5</f>
        <v>P4-01, P4-03</v>
      </c>
      <c r="F52" s="4" t="str">
        <f aca="false">P4_Qualite_Quarantaine!H5</f>
        <v>Opus</v>
      </c>
      <c r="G52" s="4" t="str">
        <f aca="false">P4_Qualite_Quarantaine!L5</f>
        <v>Non fait</v>
      </c>
    </row>
    <row r="53" customFormat="false" ht="15" hidden="false" customHeight="false" outlineLevel="0" collapsed="false">
      <c r="A53" s="4" t="n">
        <f aca="false">P4_Qualite_Quarantaine!B6</f>
        <v>37</v>
      </c>
      <c r="B53" s="4" t="str">
        <f aca="false">P4_Qualite_Quarantaine!A6</f>
        <v>P4-05</v>
      </c>
      <c r="C53" s="4" t="s">
        <v>39</v>
      </c>
      <c r="D53" s="5" t="str">
        <f aca="false">P4_Qualite_Quarantaine!C6</f>
        <v>Rapports de qualité</v>
      </c>
      <c r="E53" s="4" t="str">
        <f aca="false">P4_Qualite_Quarantaine!I6</f>
        <v>P4-03</v>
      </c>
      <c r="F53" s="4" t="str">
        <f aca="false">P4_Qualite_Quarantaine!H6</f>
        <v>Haiku</v>
      </c>
      <c r="G53" s="4" t="str">
        <f aca="false">P4_Qualite_Quarantaine!L6</f>
        <v>Non fait</v>
      </c>
    </row>
    <row r="54" customFormat="false" ht="15" hidden="false" customHeight="false" outlineLevel="0" collapsed="false">
      <c r="A54" s="4" t="n">
        <f aca="false">P4_Qualite_Quarantaine!B7</f>
        <v>38</v>
      </c>
      <c r="B54" s="4" t="str">
        <f aca="false">P4_Qualite_Quarantaine!A7</f>
        <v>P4-06</v>
      </c>
      <c r="C54" s="4" t="s">
        <v>39</v>
      </c>
      <c r="D54" s="5" t="str">
        <f aca="false">P4_Qualite_Quarantaine!C7</f>
        <v>Contrôles métier &amp; cohérence</v>
      </c>
      <c r="E54" s="4" t="str">
        <f aca="false">P4_Qualite_Quarantaine!I7</f>
        <v>P4-01</v>
      </c>
      <c r="F54" s="4" t="str">
        <f aca="false">P4_Qualite_Quarantaine!H7</f>
        <v>Sonnet</v>
      </c>
      <c r="G54" s="4" t="str">
        <f aca="false">P4_Qualite_Quarantaine!L7</f>
        <v>Non fait</v>
      </c>
    </row>
    <row r="55" customFormat="false" ht="15" hidden="false" customHeight="false" outlineLevel="0" collapsed="false">
      <c r="A55" s="4" t="n">
        <f aca="false">P4_Qualite_Quarantaine!B8</f>
        <v>39</v>
      </c>
      <c r="B55" s="4" t="str">
        <f aca="false">P4_Qualite_Quarantaine!A8</f>
        <v>P4-07</v>
      </c>
      <c r="C55" s="4" t="s">
        <v>39</v>
      </c>
      <c r="D55" s="5" t="str">
        <f aca="false">P4_Qualite_Quarantaine!C8</f>
        <v>Validation finale Silver → Gold</v>
      </c>
      <c r="E55" s="4" t="str">
        <f aca="false">P4_Qualite_Quarantaine!I8</f>
        <v>P4-04, P4-06</v>
      </c>
      <c r="F55" s="4" t="str">
        <f aca="false">P4_Qualite_Quarantaine!H8</f>
        <v>Sonnet</v>
      </c>
      <c r="G55" s="4" t="str">
        <f aca="false">P4_Qualite_Quarantaine!L8</f>
        <v>Non fait</v>
      </c>
    </row>
    <row r="56" customFormat="false" ht="15" hidden="false" customHeight="false" outlineLevel="0" collapsed="false">
      <c r="A56" s="4" t="n">
        <f aca="false">P5_Gold_API_UI!B2</f>
        <v>40</v>
      </c>
      <c r="B56" s="4" t="str">
        <f aca="false">P5_Gold_API_UI!A2</f>
        <v>P5-01</v>
      </c>
      <c r="C56" s="4" t="s">
        <v>45</v>
      </c>
      <c r="D56" s="5" t="str">
        <f aca="false">P5_Gold_API_UI!C2</f>
        <v>Modèle Gold &amp; contrats de data products</v>
      </c>
      <c r="E56" s="4" t="str">
        <f aca="false">P5_Gold_API_UI!I2</f>
        <v>P4-07</v>
      </c>
      <c r="F56" s="4" t="str">
        <f aca="false">P5_Gold_API_UI!H2</f>
        <v>Opus</v>
      </c>
      <c r="G56" s="4" t="str">
        <f aca="false">P5_Gold_API_UI!L2</f>
        <v>Non fait</v>
      </c>
    </row>
    <row r="57" customFormat="false" ht="15" hidden="false" customHeight="false" outlineLevel="0" collapsed="false">
      <c r="A57" s="4" t="n">
        <f aca="false">P5_Gold_API_UI!B3</f>
        <v>41</v>
      </c>
      <c r="B57" s="4" t="str">
        <f aca="false">P5_Gold_API_UI!A3</f>
        <v>P5-02</v>
      </c>
      <c r="C57" s="4" t="s">
        <v>45</v>
      </c>
      <c r="D57" s="5" t="str">
        <f aca="false">P5_Gold_API_UI!C3</f>
        <v>Vues &amp; indicateurs DuckDB</v>
      </c>
      <c r="E57" s="4" t="str">
        <f aca="false">P5_Gold_API_UI!I3</f>
        <v>P5-01</v>
      </c>
      <c r="F57" s="4" t="str">
        <f aca="false">P5_Gold_API_UI!H3</f>
        <v>Sonnet</v>
      </c>
      <c r="G57" s="4" t="str">
        <f aca="false">P5_Gold_API_UI!L3</f>
        <v>Non fait</v>
      </c>
    </row>
    <row r="58" customFormat="false" ht="15" hidden="false" customHeight="false" outlineLevel="0" collapsed="false">
      <c r="A58" s="4" t="n">
        <f aca="false">P5_Gold_API_UI!B4</f>
        <v>42</v>
      </c>
      <c r="B58" s="4" t="str">
        <f aca="false">P5_Gold_API_UI!A4</f>
        <v>P5-03</v>
      </c>
      <c r="C58" s="4" t="s">
        <v>45</v>
      </c>
      <c r="D58" s="5" t="str">
        <f aca="false">P5_Gold_API_UI!C4</f>
        <v>API FastAPI</v>
      </c>
      <c r="E58" s="4" t="str">
        <f aca="false">P5_Gold_API_UI!I4</f>
        <v>P5-02</v>
      </c>
      <c r="F58" s="4" t="str">
        <f aca="false">P5_Gold_API_UI!H4</f>
        <v>Sonnet</v>
      </c>
      <c r="G58" s="4" t="str">
        <f aca="false">P5_Gold_API_UI!L4</f>
        <v>Non fait</v>
      </c>
    </row>
    <row r="59" customFormat="false" ht="15" hidden="false" customHeight="false" outlineLevel="0" collapsed="false">
      <c r="A59" s="4" t="n">
        <f aca="false">P5_Gold_API_UI!B5</f>
        <v>43</v>
      </c>
      <c r="B59" s="4" t="str">
        <f aca="false">P5_Gold_API_UI!A5</f>
        <v>P5-04</v>
      </c>
      <c r="C59" s="4" t="s">
        <v>45</v>
      </c>
      <c r="D59" s="5" t="str">
        <f aca="false">P5_Gold_API_UI!C5</f>
        <v>Catalogue de données &amp; lignage</v>
      </c>
      <c r="E59" s="4" t="str">
        <f aca="false">P5_Gold_API_UI!I5</f>
        <v>P5-03</v>
      </c>
      <c r="F59" s="4" t="str">
        <f aca="false">P5_Gold_API_UI!H5</f>
        <v>Sonnet</v>
      </c>
      <c r="G59" s="4" t="str">
        <f aca="false">P5_Gold_API_UI!L5</f>
        <v>Non fait</v>
      </c>
    </row>
    <row r="60" customFormat="false" ht="15" hidden="false" customHeight="false" outlineLevel="0" collapsed="false">
      <c r="A60" s="4" t="n">
        <f aca="false">P5_Gold_API_UI!B6</f>
        <v>44</v>
      </c>
      <c r="B60" s="4" t="str">
        <f aca="false">P5_Gold_API_UI!A6</f>
        <v>P5-05</v>
      </c>
      <c r="C60" s="4" t="s">
        <v>45</v>
      </c>
      <c r="D60" s="5" t="str">
        <f aca="false">P5_Gold_API_UI!C6</f>
        <v>Design system &amp; maquettes de l'UI</v>
      </c>
      <c r="E60" s="4" t="str">
        <f aca="false">P5_Gold_API_UI!I6</f>
        <v>P5-03</v>
      </c>
      <c r="F60" s="4" t="str">
        <f aca="false">P5_Gold_API_UI!H6</f>
        <v>Sonnet</v>
      </c>
      <c r="G60" s="4" t="str">
        <f aca="false">P5_Gold_API_UI!L6</f>
        <v>Non fait</v>
      </c>
    </row>
    <row r="61" customFormat="false" ht="15" hidden="false" customHeight="false" outlineLevel="0" collapsed="false">
      <c r="A61" s="4" t="n">
        <f aca="false">P5_Gold_API_UI!B7</f>
        <v>45</v>
      </c>
      <c r="B61" s="4" t="str">
        <f aca="false">P5_Gold_API_UI!A7</f>
        <v>P5-06</v>
      </c>
      <c r="C61" s="4" t="s">
        <v>45</v>
      </c>
      <c r="D61" s="5" t="str">
        <f aca="false">P5_Gold_API_UI!C7</f>
        <v>Dashboard React</v>
      </c>
      <c r="E61" s="4" t="str">
        <f aca="false">P5_Gold_API_UI!I7</f>
        <v>P5-05</v>
      </c>
      <c r="F61" s="4" t="str">
        <f aca="false">P5_Gold_API_UI!H7</f>
        <v>Sonnet</v>
      </c>
      <c r="G61" s="4" t="str">
        <f aca="false">P5_Gold_API_UI!L7</f>
        <v>Non fait</v>
      </c>
    </row>
    <row r="62" customFormat="false" ht="15" hidden="false" customHeight="false" outlineLevel="0" collapsed="false">
      <c r="A62" s="4" t="n">
        <f aca="false">P5_Gold_API_UI!B8</f>
        <v>46</v>
      </c>
      <c r="B62" s="4" t="str">
        <f aca="false">P5_Gold_API_UI!A8</f>
        <v>P5-07</v>
      </c>
      <c r="C62" s="4" t="s">
        <v>45</v>
      </c>
      <c r="D62" s="5" t="str">
        <f aca="false">P5_Gold_API_UI!C8</f>
        <v>Animations &amp; micro-interactions</v>
      </c>
      <c r="E62" s="4" t="str">
        <f aca="false">P5_Gold_API_UI!I8</f>
        <v>P5-06</v>
      </c>
      <c r="F62" s="4" t="str">
        <f aca="false">P5_Gold_API_UI!H8</f>
        <v>Sonnet</v>
      </c>
      <c r="G62" s="4" t="str">
        <f aca="false">P5_Gold_API_UI!L8</f>
        <v>Non fait</v>
      </c>
    </row>
    <row r="63" customFormat="false" ht="15" hidden="false" customHeight="false" outlineLevel="0" collapsed="false">
      <c r="A63" s="4" t="n">
        <f aca="false">P5_Gold_API_UI!B9</f>
        <v>47</v>
      </c>
      <c r="B63" s="4" t="str">
        <f aca="false">P5_Gold_API_UI!A9</f>
        <v>P5-08</v>
      </c>
      <c r="C63" s="4" t="s">
        <v>45</v>
      </c>
      <c r="D63" s="5" t="str">
        <f aca="false">P5_Gold_API_UI!C9</f>
        <v>Tests E2E &amp; accessibilité</v>
      </c>
      <c r="E63" s="4" t="str">
        <f aca="false">P5_Gold_API_UI!I9</f>
        <v>P5-07</v>
      </c>
      <c r="F63" s="4" t="str">
        <f aca="false">P5_Gold_API_UI!H9</f>
        <v>Sonnet</v>
      </c>
      <c r="G63" s="4" t="str">
        <f aca="false">P5_Gold_API_UI!L9</f>
        <v>Non fait</v>
      </c>
    </row>
    <row r="64" customFormat="false" ht="15" hidden="false" customHeight="false" outlineLevel="0" collapsed="false">
      <c r="A64" s="4" t="n">
        <f aca="false">P6_Observabilite_Optim!B2</f>
        <v>48</v>
      </c>
      <c r="B64" s="4" t="str">
        <f aca="false">P6_Observabilite_Optim!A2</f>
        <v>P6-01</v>
      </c>
      <c r="C64" s="4" t="s">
        <v>50</v>
      </c>
      <c r="D64" s="5" t="str">
        <f aca="false">P6_Observabilite_Optim!C2</f>
        <v>Audit &amp; métriques</v>
      </c>
      <c r="E64" s="4" t="str">
        <f aca="false">P6_Observabilite_Optim!I2</f>
        <v>P5-03</v>
      </c>
      <c r="F64" s="4" t="str">
        <f aca="false">P6_Observabilite_Optim!H2</f>
        <v>Sonnet</v>
      </c>
      <c r="G64" s="4" t="str">
        <f aca="false">P6_Observabilite_Optim!L2</f>
        <v>Non fait</v>
      </c>
    </row>
    <row r="65" customFormat="false" ht="15" hidden="false" customHeight="false" outlineLevel="0" collapsed="false">
      <c r="A65" s="4" t="n">
        <f aca="false">P6_Observabilite_Optim!B3</f>
        <v>49</v>
      </c>
      <c r="B65" s="4" t="str">
        <f aca="false">P6_Observabilite_Optim!A3</f>
        <v>P6-02</v>
      </c>
      <c r="C65" s="4" t="s">
        <v>50</v>
      </c>
      <c r="D65" s="5" t="str">
        <f aca="false">P6_Observabilite_Optim!C3</f>
        <v>Alerting &amp; analyse de cause racine</v>
      </c>
      <c r="E65" s="4" t="str">
        <f aca="false">P6_Observabilite_Optim!I3</f>
        <v>P6-01, P3-03</v>
      </c>
      <c r="F65" s="4" t="str">
        <f aca="false">P6_Observabilite_Optim!H3</f>
        <v>Opus</v>
      </c>
      <c r="G65" s="4" t="str">
        <f aca="false">P6_Observabilite_Optim!L3</f>
        <v>Non fait</v>
      </c>
    </row>
    <row r="66" customFormat="false" ht="15" hidden="false" customHeight="false" outlineLevel="0" collapsed="false">
      <c r="A66" s="4" t="n">
        <f aca="false">P6_Observabilite_Optim!B4</f>
        <v>50</v>
      </c>
      <c r="B66" s="4" t="str">
        <f aca="false">P6_Observabilite_Optim!A4</f>
        <v>P6-03</v>
      </c>
      <c r="C66" s="4" t="s">
        <v>50</v>
      </c>
      <c r="D66" s="5" t="str">
        <f aca="false">P6_Observabilite_Optim!C4</f>
        <v>Auto-rejeu intelligent</v>
      </c>
      <c r="E66" s="4" t="str">
        <f aca="false">P6_Observabilite_Optim!I4</f>
        <v>P6-02, P4-04</v>
      </c>
      <c r="F66" s="4" t="str">
        <f aca="false">P6_Observabilite_Optim!H4</f>
        <v>Opus</v>
      </c>
      <c r="G66" s="4" t="str">
        <f aca="false">P6_Observabilite_Optim!L4</f>
        <v>Non fait</v>
      </c>
    </row>
    <row r="67" customFormat="false" ht="15" hidden="false" customHeight="false" outlineLevel="0" collapsed="false">
      <c r="A67" s="4" t="n">
        <f aca="false">P6_Observabilite_Optim!B5</f>
        <v>51</v>
      </c>
      <c r="B67" s="4" t="str">
        <f aca="false">P6_Observabilite_Optim!A5</f>
        <v>P6-04</v>
      </c>
      <c r="C67" s="4" t="s">
        <v>50</v>
      </c>
      <c r="D67" s="5" t="str">
        <f aca="false">P6_Observabilite_Optim!C5</f>
        <v>Dashboards Grafana as code</v>
      </c>
      <c r="E67" s="4" t="str">
        <f aca="false">P6_Observabilite_Optim!I5</f>
        <v>P6-01</v>
      </c>
      <c r="F67" s="4" t="str">
        <f aca="false">P6_Observabilite_Optim!H5</f>
        <v>Haiku</v>
      </c>
      <c r="G67" s="4" t="str">
        <f aca="false">P6_Observabilite_Optim!L5</f>
        <v>Non fait</v>
      </c>
    </row>
    <row r="68" customFormat="false" ht="15" hidden="false" customHeight="false" outlineLevel="0" collapsed="false">
      <c r="A68" s="4" t="n">
        <f aca="false">P6_Observabilite_Optim!B6</f>
        <v>52</v>
      </c>
      <c r="B68" s="4" t="str">
        <f aca="false">P6_Observabilite_Optim!A6</f>
        <v>P6-05</v>
      </c>
      <c r="C68" s="4" t="s">
        <v>50</v>
      </c>
      <c r="D68" s="5" t="str">
        <f aca="false">P6_Observabilite_Optim!C6</f>
        <v>Auto-optimisation guidée par l'usage</v>
      </c>
      <c r="E68" s="4" t="str">
        <f aca="false">P6_Observabilite_Optim!I6</f>
        <v>P6-01, P5-02</v>
      </c>
      <c r="F68" s="4" t="str">
        <f aca="false">P6_Observabilite_Optim!H6</f>
        <v>Opus</v>
      </c>
      <c r="G68" s="4" t="str">
        <f aca="false">P6_Observabilite_Optim!L6</f>
        <v>Non fait</v>
      </c>
    </row>
    <row r="69" customFormat="false" ht="15" hidden="false" customHeight="false" outlineLevel="0" collapsed="false">
      <c r="A69" s="4" t="n">
        <f aca="false">P6_Observabilite_Optim!B7</f>
        <v>53</v>
      </c>
      <c r="B69" s="4" t="str">
        <f aca="false">P6_Observabilite_Optim!A7</f>
        <v>P6-06</v>
      </c>
      <c r="C69" s="4" t="s">
        <v>50</v>
      </c>
      <c r="D69" s="5" t="str">
        <f aca="false">P6_Observabilite_Optim!C7</f>
        <v>Compaction &amp; rétention automatisées</v>
      </c>
      <c r="E69" s="4" t="str">
        <f aca="false">P6_Observabilite_Optim!I7</f>
        <v>P6-05</v>
      </c>
      <c r="F69" s="4" t="str">
        <f aca="false">P6_Observabilite_Optim!H7</f>
        <v>Sonnet</v>
      </c>
      <c r="G69" s="4" t="str">
        <f aca="false">P6_Observabilite_Optim!L7</f>
        <v>Non fait</v>
      </c>
    </row>
    <row r="70" customFormat="false" ht="15" hidden="false" customHeight="false" outlineLevel="0" collapsed="false">
      <c r="A70" s="4" t="n">
        <f aca="false">P6_Observabilite_Optim!B8</f>
        <v>54</v>
      </c>
      <c r="B70" s="4" t="str">
        <f aca="false">P6_Observabilite_Optim!A8</f>
        <v>P6-07</v>
      </c>
      <c r="C70" s="4" t="s">
        <v>50</v>
      </c>
      <c r="D70" s="5" t="str">
        <f aca="false">P6_Observabilite_Optim!C8</f>
        <v>Sécurité : RBAC, TLS, scans</v>
      </c>
      <c r="E70" s="4" t="str">
        <f aca="false">P6_Observabilite_Optim!I8</f>
        <v>P5-03</v>
      </c>
      <c r="F70" s="4" t="str">
        <f aca="false">P6_Observabilite_Optim!H8</f>
        <v>Sonnet</v>
      </c>
      <c r="G70" s="4" t="str">
        <f aca="false">P6_Observabilite_Optim!L8</f>
        <v>Non fait</v>
      </c>
    </row>
    <row r="71" customFormat="false" ht="15" hidden="false" customHeight="false" outlineLevel="0" collapsed="false">
      <c r="A71" s="4" t="n">
        <f aca="false">P6_Observabilite_Optim!B9</f>
        <v>55</v>
      </c>
      <c r="B71" s="4" t="str">
        <f aca="false">P6_Observabilite_Optim!A9</f>
        <v>P6-08</v>
      </c>
      <c r="C71" s="4" t="s">
        <v>50</v>
      </c>
      <c r="D71" s="5" t="str">
        <f aca="false">P6_Observabilite_Optim!C9</f>
        <v>(Stretch) Hot path en Rust via PyO3</v>
      </c>
      <c r="E71" s="4" t="str">
        <f aca="false">P6_Observabilite_Optim!I9</f>
        <v>P2-03, P6-05</v>
      </c>
      <c r="F71" s="4" t="str">
        <f aca="false">P6_Observabilite_Optim!H9</f>
        <v>Opus</v>
      </c>
      <c r="G71" s="4" t="str">
        <f aca="false">P6_Observabilite_Optim!L9</f>
        <v>Non fait</v>
      </c>
    </row>
    <row r="72" customFormat="false" ht="15" hidden="false" customHeight="false" outlineLevel="0" collapsed="false">
      <c r="A72" s="4" t="n">
        <f aca="false">P6_Observabilite_Optim!B10</f>
        <v>56</v>
      </c>
      <c r="B72" s="4" t="str">
        <f aca="false">P6_Observabilite_Optim!A10</f>
        <v>P6-09</v>
      </c>
      <c r="C72" s="4" t="s">
        <v>50</v>
      </c>
      <c r="D72" s="5" t="str">
        <f aca="false">P6_Observabilite_Optim!C10</f>
        <v>Benchmarks &amp; rapport de performance</v>
      </c>
      <c r="E72" s="4" t="str">
        <f aca="false">P6_Observabilite_Optim!I10</f>
        <v>P6-06</v>
      </c>
      <c r="F72" s="4" t="str">
        <f aca="false">P6_Observabilite_Optim!H10</f>
        <v>Sonnet</v>
      </c>
      <c r="G72" s="4" t="str">
        <f aca="false">P6_Observabilite_Optim!L10</f>
        <v>Non fait</v>
      </c>
    </row>
    <row r="73" customFormat="false" ht="15" hidden="false" customHeight="false" outlineLevel="0" collapsed="false">
      <c r="A73" s="4" t="n">
        <f aca="false">P7_Portfolio_CV!B2</f>
        <v>57</v>
      </c>
      <c r="B73" s="4" t="str">
        <f aca="false">P7_Portfolio_CV!A2</f>
        <v>P7-01</v>
      </c>
      <c r="C73" s="4" t="s">
        <v>55</v>
      </c>
      <c r="D73" s="5" t="str">
        <f aca="false">P7_Portfolio_CV!C2</f>
        <v>README professionnel</v>
      </c>
      <c r="E73" s="4" t="str">
        <f aca="false">P7_Portfolio_CV!I2</f>
        <v>P6-09</v>
      </c>
      <c r="F73" s="4" t="str">
        <f aca="false">P7_Portfolio_CV!H2</f>
        <v>Haiku</v>
      </c>
      <c r="G73" s="4" t="str">
        <f aca="false">P7_Portfolio_CV!L2</f>
        <v>Non fait</v>
      </c>
    </row>
    <row r="74" customFormat="false" ht="15" hidden="false" customHeight="false" outlineLevel="0" collapsed="false">
      <c r="A74" s="4" t="n">
        <f aca="false">P7_Portfolio_CV!B3</f>
        <v>58</v>
      </c>
      <c r="B74" s="4" t="str">
        <f aca="false">P7_Portfolio_CV!A3</f>
        <v>P7-02</v>
      </c>
      <c r="C74" s="4" t="s">
        <v>55</v>
      </c>
      <c r="D74" s="5" t="str">
        <f aca="false">P7_Portfolio_CV!C3</f>
        <v>Documentation (MkDocs)</v>
      </c>
      <c r="E74" s="4" t="str">
        <f aca="false">P7_Portfolio_CV!I3</f>
        <v>P7-01</v>
      </c>
      <c r="F74" s="4" t="str">
        <f aca="false">P7_Portfolio_CV!H3</f>
        <v>Haiku</v>
      </c>
      <c r="G74" s="4" t="str">
        <f aca="false">P7_Portfolio_CV!L3</f>
        <v>Non fait</v>
      </c>
    </row>
    <row r="75" customFormat="false" ht="15" hidden="false" customHeight="false" outlineLevel="0" collapsed="false">
      <c r="A75" s="4" t="n">
        <f aca="false">P7_Portfolio_CV!B4</f>
        <v>59</v>
      </c>
      <c r="B75" s="4" t="str">
        <f aca="false">P7_Portfolio_CV!A4</f>
        <v>P7-03</v>
      </c>
      <c r="C75" s="4" t="s">
        <v>55</v>
      </c>
      <c r="D75" s="5" t="str">
        <f aca="false">P7_Portfolio_CV!C4</f>
        <v>Démo reproductible de bout en bout</v>
      </c>
      <c r="E75" s="4" t="str">
        <f aca="false">P7_Portfolio_CV!I4</f>
        <v>P7-02</v>
      </c>
      <c r="F75" s="4" t="str">
        <f aca="false">P7_Portfolio_CV!H4</f>
        <v>Sonnet</v>
      </c>
      <c r="G75" s="4" t="str">
        <f aca="false">P7_Portfolio_CV!L4</f>
        <v>Non fait</v>
      </c>
    </row>
    <row r="76" customFormat="false" ht="15" hidden="false" customHeight="false" outlineLevel="0" collapsed="false">
      <c r="A76" s="4" t="n">
        <f aca="false">P7_Portfolio_CV!B5</f>
        <v>60</v>
      </c>
      <c r="B76" s="4" t="str">
        <f aca="false">P7_Portfolio_CV!A5</f>
        <v>P7-04</v>
      </c>
      <c r="C76" s="4" t="s">
        <v>55</v>
      </c>
      <c r="D76" s="5" t="str">
        <f aca="false">P7_Portfolio_CV!C5</f>
        <v>GIF/vidéo de démonstration</v>
      </c>
      <c r="E76" s="4" t="str">
        <f aca="false">P7_Portfolio_CV!I5</f>
        <v>P7-03</v>
      </c>
      <c r="F76" s="4" t="str">
        <f aca="false">P7_Portfolio_CV!H5</f>
        <v>Sonnet</v>
      </c>
      <c r="G76" s="4" t="str">
        <f aca="false">P7_Portfolio_CV!L5</f>
        <v>Non fait</v>
      </c>
    </row>
    <row r="77" customFormat="false" ht="15" hidden="false" customHeight="false" outlineLevel="0" collapsed="false">
      <c r="A77" s="4" t="n">
        <f aca="false">P7_Portfolio_CV!B6</f>
        <v>61</v>
      </c>
      <c r="B77" s="4" t="str">
        <f aca="false">P7_Portfolio_CV!A6</f>
        <v>P7-05</v>
      </c>
      <c r="C77" s="4" t="s">
        <v>55</v>
      </c>
      <c r="D77" s="5" t="str">
        <f aca="false">P7_Portfolio_CV!C6</f>
        <v>Étude de cas BA / BIA</v>
      </c>
      <c r="E77" s="4" t="str">
        <f aca="false">P7_Portfolio_CV!I6</f>
        <v>P7-03</v>
      </c>
      <c r="F77" s="4" t="str">
        <f aca="false">P7_Portfolio_CV!H6</f>
        <v>Opus</v>
      </c>
      <c r="G77" s="4" t="str">
        <f aca="false">P7_Portfolio_CV!L6</f>
        <v>Non fait</v>
      </c>
    </row>
    <row r="78" customFormat="false" ht="15" hidden="false" customHeight="false" outlineLevel="0" collapsed="false">
      <c r="A78" s="4" t="n">
        <f aca="false">P7_Portfolio_CV!B7</f>
        <v>62</v>
      </c>
      <c r="B78" s="4" t="str">
        <f aca="false">P7_Portfolio_CV!A7</f>
        <v>P7-06</v>
      </c>
      <c r="C78" s="4" t="s">
        <v>55</v>
      </c>
      <c r="D78" s="5" t="str">
        <f aca="false">P7_Portfolio_CV!C7</f>
        <v>Contenus CV &amp; LinkedIn</v>
      </c>
      <c r="E78" s="4" t="str">
        <f aca="false">P7_Portfolio_CV!I7</f>
        <v>P7-05, P6-09</v>
      </c>
      <c r="F78" s="4" t="str">
        <f aca="false">P7_Portfolio_CV!H7</f>
        <v>Sonnet</v>
      </c>
      <c r="G78" s="4" t="str">
        <f aca="false">P7_Portfolio_CV!L7</f>
        <v>Non fait</v>
      </c>
    </row>
    <row r="79" customFormat="false" ht="15" hidden="false" customHeight="false" outlineLevel="0" collapsed="false">
      <c r="A79" s="4" t="n">
        <f aca="false">P7_Portfolio_CV!B8</f>
        <v>63</v>
      </c>
      <c r="B79" s="4" t="str">
        <f aca="false">P7_Portfolio_CV!A8</f>
        <v>P7-07</v>
      </c>
      <c r="C79" s="4" t="s">
        <v>55</v>
      </c>
      <c r="D79" s="5" t="str">
        <f aca="false">P7_Portfolio_CV!C8</f>
        <v>Cartographie compétences ↔ postes visés</v>
      </c>
      <c r="E79" s="4" t="str">
        <f aca="false">P7_Portfolio_CV!I8</f>
        <v>P7-06</v>
      </c>
      <c r="F79" s="4" t="str">
        <f aca="false">P7_Portfolio_CV!H8</f>
        <v>Sonnet</v>
      </c>
      <c r="G79" s="4" t="str">
        <f aca="false">P7_Portfolio_CV!L8</f>
        <v>Non fait</v>
      </c>
    </row>
    <row r="80" customFormat="false" ht="15" hidden="false" customHeight="false" outlineLevel="0" collapsed="false">
      <c r="A80" s="4" t="n">
        <f aca="false">P7_Portfolio_CV!B9</f>
        <v>64</v>
      </c>
      <c r="B80" s="4" t="str">
        <f aca="false">P7_Portfolio_CV!A9</f>
        <v>P7-08</v>
      </c>
      <c r="C80" s="4" t="s">
        <v>55</v>
      </c>
      <c r="D80" s="5" t="str">
        <f aca="false">P7_Portfolio_CV!C9</f>
        <v>Release v1.0</v>
      </c>
      <c r="E80" s="4" t="str">
        <f aca="false">P7_Portfolio_CV!I9</f>
        <v>P7-07</v>
      </c>
      <c r="F80" s="4" t="str">
        <f aca="false">P7_Portfolio_CV!H9</f>
        <v>Haiku</v>
      </c>
      <c r="G80" s="4" t="str">
        <f aca="false">P7_Portfolio_CV!L9</f>
        <v>Non fait</v>
      </c>
    </row>
  </sheetData>
  <conditionalFormatting sqref="L5:L12">
    <cfRule type="cellIs" priority="2" operator="equal" aboveAverage="0" equalAverage="0" bottom="0" percent="0" rank="0" text="" dxfId="0">
      <formula>"Oui"</formula>
    </cfRule>
  </conditionalFormatting>
  <conditionalFormatting sqref="G17:G80">
    <cfRule type="cellIs" priority="3" operator="equal" aboveAverage="0" equalAverage="0" bottom="0" percent="0" rank="0" text="" dxfId="1">
      <formula>"Non fait"</formula>
    </cfRule>
    <cfRule type="cellIs" priority="4" operator="equal" aboveAverage="0" equalAverage="0" bottom="0" percent="0" rank="0" text="" dxfId="2">
      <formula>"En cours"</formula>
    </cfRule>
    <cfRule type="cellIs" priority="5" operator="equal" aboveAverage="0" equalAverage="0" bottom="0" percent="0" rank="0" text="" dxfId="3">
      <formula>"À valider"</formula>
    </cfRule>
    <cfRule type="cellIs" priority="6" operator="equal" aboveAverage="0" equalAverage="0" bottom="0" percent="0" rank="0" text="" dxfId="0">
      <formula>"Validé"</formula>
    </cfRule>
  </conditionalFormatting>
  <conditionalFormatting sqref="F17:F80">
    <cfRule type="cellIs" priority="7" operator="equal" aboveAverage="0" equalAverage="0" bottom="0" percent="0" rank="0" text="" dxfId="4">
      <formula>"Opus"</formula>
    </cfRule>
    <cfRule type="cellIs" priority="8" operator="equal" aboveAverage="0" equalAverage="0" bottom="0" percent="0" rank="0" text="" dxfId="5">
      <formula>"Sonnet"</formula>
    </cfRule>
    <cfRule type="cellIs" priority="9" operator="equal" aboveAverage="0" equalAverage="0" bottom="0" percent="0" rank="0" text="" dxfId="6">
      <formula>"Haiku"</formula>
    </cfRule>
  </conditionalFormatting>
  <dataValidations count="1">
    <dataValidation allowBlank="false" errorStyle="stop" operator="between" showDropDown="false" showErrorMessage="false" showInputMessage="false" sqref="L5:L12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75</v>
      </c>
      <c r="B2" s="4" t="n">
        <v>1</v>
      </c>
      <c r="C2" s="11" t="s">
        <v>76</v>
      </c>
      <c r="D2" s="5" t="s">
        <v>77</v>
      </c>
      <c r="E2" s="5" t="s">
        <v>78</v>
      </c>
      <c r="F2" s="5" t="s">
        <v>79</v>
      </c>
      <c r="G2" s="5" t="s">
        <v>80</v>
      </c>
      <c r="H2" s="4" t="s">
        <v>81</v>
      </c>
      <c r="I2" s="4" t="s">
        <v>82</v>
      </c>
      <c r="J2" s="4" t="s">
        <v>83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85</v>
      </c>
      <c r="B3" s="4" t="n">
        <v>2</v>
      </c>
      <c r="C3" s="11" t="s">
        <v>86</v>
      </c>
      <c r="D3" s="5" t="s">
        <v>87</v>
      </c>
      <c r="E3" s="5" t="s">
        <v>88</v>
      </c>
      <c r="F3" s="5" t="s">
        <v>89</v>
      </c>
      <c r="G3" s="5" t="s">
        <v>90</v>
      </c>
      <c r="H3" s="4" t="s">
        <v>26</v>
      </c>
      <c r="I3" s="4" t="s">
        <v>75</v>
      </c>
      <c r="J3" s="4" t="s">
        <v>91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92</v>
      </c>
      <c r="B4" s="4" t="n">
        <v>3</v>
      </c>
      <c r="C4" s="11" t="s">
        <v>93</v>
      </c>
      <c r="D4" s="5" t="s">
        <v>94</v>
      </c>
      <c r="E4" s="5" t="s">
        <v>95</v>
      </c>
      <c r="F4" s="5" t="s">
        <v>96</v>
      </c>
      <c r="G4" s="5" t="s">
        <v>97</v>
      </c>
      <c r="H4" s="4" t="s">
        <v>26</v>
      </c>
      <c r="I4" s="4" t="s">
        <v>75</v>
      </c>
      <c r="J4" s="4" t="s">
        <v>82</v>
      </c>
      <c r="K4" s="5" t="s">
        <v>84</v>
      </c>
      <c r="L4" s="4" t="s">
        <v>8</v>
      </c>
      <c r="M4" s="5"/>
    </row>
    <row r="5" customFormat="false" ht="105" hidden="false" customHeight="true" outlineLevel="0" collapsed="false">
      <c r="A5" s="4" t="s">
        <v>98</v>
      </c>
      <c r="B5" s="4" t="n">
        <v>4</v>
      </c>
      <c r="C5" s="11" t="s">
        <v>99</v>
      </c>
      <c r="D5" s="5" t="s">
        <v>100</v>
      </c>
      <c r="E5" s="5" t="s">
        <v>101</v>
      </c>
      <c r="F5" s="5" t="s">
        <v>102</v>
      </c>
      <c r="G5" s="5" t="s">
        <v>103</v>
      </c>
      <c r="H5" s="4" t="s">
        <v>26</v>
      </c>
      <c r="I5" s="4" t="s">
        <v>75</v>
      </c>
      <c r="J5" s="4" t="s">
        <v>82</v>
      </c>
      <c r="K5" s="5" t="s">
        <v>84</v>
      </c>
      <c r="L5" s="4" t="s">
        <v>8</v>
      </c>
      <c r="M5" s="5"/>
    </row>
    <row r="6" customFormat="false" ht="105" hidden="false" customHeight="true" outlineLevel="0" collapsed="false">
      <c r="A6" s="4" t="s">
        <v>104</v>
      </c>
      <c r="B6" s="4" t="n">
        <v>5</v>
      </c>
      <c r="C6" s="11" t="s">
        <v>105</v>
      </c>
      <c r="D6" s="5" t="s">
        <v>106</v>
      </c>
      <c r="E6" s="5" t="s">
        <v>107</v>
      </c>
      <c r="F6" s="5" t="s">
        <v>108</v>
      </c>
      <c r="G6" s="5" t="s">
        <v>109</v>
      </c>
      <c r="H6" s="4" t="s">
        <v>26</v>
      </c>
      <c r="I6" s="4" t="s">
        <v>75</v>
      </c>
      <c r="J6" s="4" t="s">
        <v>82</v>
      </c>
      <c r="K6" s="5" t="s">
        <v>84</v>
      </c>
      <c r="L6" s="4" t="s">
        <v>8</v>
      </c>
      <c r="M6" s="5"/>
    </row>
    <row r="7" customFormat="false" ht="105" hidden="false" customHeight="true" outlineLevel="0" collapsed="false">
      <c r="A7" s="4" t="s">
        <v>110</v>
      </c>
      <c r="B7" s="4" t="n">
        <v>6</v>
      </c>
      <c r="C7" s="11" t="s">
        <v>111</v>
      </c>
      <c r="D7" s="5" t="s">
        <v>112</v>
      </c>
      <c r="E7" s="5" t="s">
        <v>113</v>
      </c>
      <c r="F7" s="5" t="s">
        <v>114</v>
      </c>
      <c r="G7" s="5" t="s">
        <v>115</v>
      </c>
      <c r="H7" s="4" t="s">
        <v>81</v>
      </c>
      <c r="I7" s="4" t="s">
        <v>75</v>
      </c>
      <c r="J7" s="4" t="s">
        <v>116</v>
      </c>
      <c r="K7" s="5" t="s">
        <v>117</v>
      </c>
      <c r="L7" s="4" t="s">
        <v>8</v>
      </c>
      <c r="M7" s="5"/>
    </row>
    <row r="8" customFormat="false" ht="105" hidden="false" customHeight="true" outlineLevel="0" collapsed="false">
      <c r="A8" s="4" t="s">
        <v>118</v>
      </c>
      <c r="B8" s="4" t="n">
        <v>7</v>
      </c>
      <c r="C8" s="11" t="s">
        <v>119</v>
      </c>
      <c r="D8" s="5" t="s">
        <v>120</v>
      </c>
      <c r="E8" s="5" t="s">
        <v>121</v>
      </c>
      <c r="F8" s="5" t="s">
        <v>122</v>
      </c>
      <c r="G8" s="5" t="s">
        <v>123</v>
      </c>
      <c r="H8" s="4" t="s">
        <v>124</v>
      </c>
      <c r="I8" s="4" t="s">
        <v>85</v>
      </c>
      <c r="J8" s="4" t="s">
        <v>125</v>
      </c>
      <c r="K8" s="5" t="s">
        <v>126</v>
      </c>
      <c r="L8" s="4" t="s">
        <v>8</v>
      </c>
      <c r="M8" s="5"/>
    </row>
  </sheetData>
  <autoFilter ref="A1:M8"/>
  <conditionalFormatting sqref="L2:L8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8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8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127</v>
      </c>
      <c r="B2" s="4" t="n">
        <v>8</v>
      </c>
      <c r="C2" s="11" t="s">
        <v>128</v>
      </c>
      <c r="D2" s="5" t="s">
        <v>129</v>
      </c>
      <c r="E2" s="5" t="s">
        <v>130</v>
      </c>
      <c r="F2" s="5" t="s">
        <v>131</v>
      </c>
      <c r="G2" s="5" t="s">
        <v>132</v>
      </c>
      <c r="H2" s="4" t="s">
        <v>26</v>
      </c>
      <c r="I2" s="4" t="s">
        <v>98</v>
      </c>
      <c r="J2" s="4" t="s">
        <v>133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134</v>
      </c>
      <c r="B3" s="4" t="n">
        <v>9</v>
      </c>
      <c r="C3" s="11" t="s">
        <v>135</v>
      </c>
      <c r="D3" s="5" t="s">
        <v>136</v>
      </c>
      <c r="E3" s="5" t="s">
        <v>137</v>
      </c>
      <c r="F3" s="5" t="s">
        <v>138</v>
      </c>
      <c r="G3" s="5" t="s">
        <v>139</v>
      </c>
      <c r="H3" s="4" t="s">
        <v>26</v>
      </c>
      <c r="I3" s="4" t="s">
        <v>127</v>
      </c>
      <c r="J3" s="4" t="s">
        <v>82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140</v>
      </c>
      <c r="B4" s="4" t="n">
        <v>10</v>
      </c>
      <c r="C4" s="11" t="s">
        <v>141</v>
      </c>
      <c r="D4" s="5" t="s">
        <v>142</v>
      </c>
      <c r="E4" s="5" t="s">
        <v>143</v>
      </c>
      <c r="F4" s="5" t="s">
        <v>144</v>
      </c>
      <c r="G4" s="5" t="s">
        <v>145</v>
      </c>
      <c r="H4" s="4" t="s">
        <v>26</v>
      </c>
      <c r="I4" s="4" t="s">
        <v>127</v>
      </c>
      <c r="J4" s="4" t="s">
        <v>133</v>
      </c>
      <c r="K4" s="5" t="s">
        <v>84</v>
      </c>
      <c r="L4" s="4" t="s">
        <v>8</v>
      </c>
      <c r="M4" s="5"/>
    </row>
    <row r="5" customFormat="false" ht="105" hidden="false" customHeight="true" outlineLevel="0" collapsed="false">
      <c r="A5" s="4" t="s">
        <v>146</v>
      </c>
      <c r="B5" s="4" t="n">
        <v>11</v>
      </c>
      <c r="C5" s="11" t="s">
        <v>147</v>
      </c>
      <c r="D5" s="5" t="s">
        <v>148</v>
      </c>
      <c r="E5" s="5" t="s">
        <v>149</v>
      </c>
      <c r="F5" s="5" t="s">
        <v>150</v>
      </c>
      <c r="G5" s="5" t="s">
        <v>151</v>
      </c>
      <c r="H5" s="4" t="s">
        <v>26</v>
      </c>
      <c r="I5" s="4" t="s">
        <v>127</v>
      </c>
      <c r="J5" s="4" t="s">
        <v>82</v>
      </c>
      <c r="K5" s="5" t="s">
        <v>84</v>
      </c>
      <c r="L5" s="4" t="s">
        <v>8</v>
      </c>
      <c r="M5" s="5"/>
    </row>
    <row r="6" customFormat="false" ht="105" hidden="false" customHeight="true" outlineLevel="0" collapsed="false">
      <c r="A6" s="4" t="s">
        <v>152</v>
      </c>
      <c r="B6" s="4" t="n">
        <v>12</v>
      </c>
      <c r="C6" s="11" t="s">
        <v>153</v>
      </c>
      <c r="D6" s="5" t="s">
        <v>154</v>
      </c>
      <c r="E6" s="5" t="s">
        <v>155</v>
      </c>
      <c r="F6" s="5" t="s">
        <v>156</v>
      </c>
      <c r="G6" s="5" t="s">
        <v>157</v>
      </c>
      <c r="H6" s="4" t="s">
        <v>26</v>
      </c>
      <c r="I6" s="4" t="s">
        <v>158</v>
      </c>
      <c r="J6" s="4" t="s">
        <v>82</v>
      </c>
      <c r="K6" s="5" t="s">
        <v>84</v>
      </c>
      <c r="L6" s="4" t="s">
        <v>8</v>
      </c>
      <c r="M6" s="5"/>
    </row>
    <row r="7" customFormat="false" ht="105" hidden="false" customHeight="true" outlineLevel="0" collapsed="false">
      <c r="A7" s="4" t="s">
        <v>159</v>
      </c>
      <c r="B7" s="4" t="n">
        <v>13</v>
      </c>
      <c r="C7" s="11" t="s">
        <v>160</v>
      </c>
      <c r="D7" s="5" t="s">
        <v>161</v>
      </c>
      <c r="E7" s="5" t="s">
        <v>162</v>
      </c>
      <c r="F7" s="5" t="s">
        <v>163</v>
      </c>
      <c r="G7" s="5" t="s">
        <v>164</v>
      </c>
      <c r="H7" s="4" t="s">
        <v>26</v>
      </c>
      <c r="I7" s="4" t="s">
        <v>152</v>
      </c>
      <c r="J7" s="4" t="s">
        <v>82</v>
      </c>
      <c r="K7" s="5" t="s">
        <v>84</v>
      </c>
      <c r="L7" s="4" t="s">
        <v>8</v>
      </c>
      <c r="M7" s="5"/>
    </row>
    <row r="8" customFormat="false" ht="105" hidden="false" customHeight="true" outlineLevel="0" collapsed="false">
      <c r="A8" s="4" t="s">
        <v>165</v>
      </c>
      <c r="B8" s="4" t="n">
        <v>14</v>
      </c>
      <c r="C8" s="11" t="s">
        <v>166</v>
      </c>
      <c r="D8" s="5" t="s">
        <v>167</v>
      </c>
      <c r="E8" s="5" t="s">
        <v>168</v>
      </c>
      <c r="F8" s="5" t="s">
        <v>169</v>
      </c>
      <c r="G8" s="5" t="s">
        <v>170</v>
      </c>
      <c r="H8" s="4" t="s">
        <v>26</v>
      </c>
      <c r="I8" s="4" t="s">
        <v>134</v>
      </c>
      <c r="J8" s="4" t="s">
        <v>133</v>
      </c>
      <c r="K8" s="5" t="s">
        <v>84</v>
      </c>
      <c r="L8" s="4" t="s">
        <v>8</v>
      </c>
      <c r="M8" s="5"/>
    </row>
    <row r="9" customFormat="false" ht="105" hidden="false" customHeight="true" outlineLevel="0" collapsed="false">
      <c r="A9" s="4" t="s">
        <v>171</v>
      </c>
      <c r="B9" s="4" t="n">
        <v>15</v>
      </c>
      <c r="C9" s="11" t="s">
        <v>172</v>
      </c>
      <c r="D9" s="5" t="s">
        <v>173</v>
      </c>
      <c r="E9" s="5" t="s">
        <v>174</v>
      </c>
      <c r="F9" s="5" t="s">
        <v>175</v>
      </c>
      <c r="G9" s="5" t="s">
        <v>176</v>
      </c>
      <c r="H9" s="4" t="s">
        <v>26</v>
      </c>
      <c r="I9" s="4" t="s">
        <v>152</v>
      </c>
      <c r="J9" s="4" t="s">
        <v>82</v>
      </c>
      <c r="K9" s="5" t="s">
        <v>84</v>
      </c>
      <c r="L9" s="4" t="s">
        <v>8</v>
      </c>
      <c r="M9" s="5"/>
    </row>
    <row r="10" customFormat="false" ht="105" hidden="false" customHeight="true" outlineLevel="0" collapsed="false">
      <c r="A10" s="4" t="s">
        <v>177</v>
      </c>
      <c r="B10" s="4" t="n">
        <v>16</v>
      </c>
      <c r="C10" s="11" t="s">
        <v>178</v>
      </c>
      <c r="D10" s="5" t="s">
        <v>179</v>
      </c>
      <c r="E10" s="5" t="s">
        <v>180</v>
      </c>
      <c r="F10" s="5" t="s">
        <v>181</v>
      </c>
      <c r="G10" s="5" t="s">
        <v>182</v>
      </c>
      <c r="H10" s="4" t="s">
        <v>26</v>
      </c>
      <c r="I10" s="4" t="s">
        <v>183</v>
      </c>
      <c r="J10" s="4" t="s">
        <v>184</v>
      </c>
      <c r="K10" s="5" t="s">
        <v>84</v>
      </c>
      <c r="L10" s="4" t="s">
        <v>8</v>
      </c>
      <c r="M10" s="5"/>
    </row>
  </sheetData>
  <autoFilter ref="A1:M10"/>
  <conditionalFormatting sqref="L2:L10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10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10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185</v>
      </c>
      <c r="B2" s="4" t="n">
        <v>17</v>
      </c>
      <c r="C2" s="11" t="s">
        <v>186</v>
      </c>
      <c r="D2" s="5" t="s">
        <v>187</v>
      </c>
      <c r="E2" s="5" t="s">
        <v>188</v>
      </c>
      <c r="F2" s="5" t="s">
        <v>189</v>
      </c>
      <c r="G2" s="5" t="s">
        <v>190</v>
      </c>
      <c r="H2" s="4" t="s">
        <v>26</v>
      </c>
      <c r="I2" s="4" t="s">
        <v>152</v>
      </c>
      <c r="J2" s="4" t="s">
        <v>82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191</v>
      </c>
      <c r="B3" s="4" t="n">
        <v>18</v>
      </c>
      <c r="C3" s="11" t="s">
        <v>192</v>
      </c>
      <c r="D3" s="5" t="s">
        <v>193</v>
      </c>
      <c r="E3" s="5" t="s">
        <v>194</v>
      </c>
      <c r="F3" s="5" t="s">
        <v>195</v>
      </c>
      <c r="G3" s="5" t="s">
        <v>196</v>
      </c>
      <c r="H3" s="4" t="s">
        <v>124</v>
      </c>
      <c r="I3" s="4" t="s">
        <v>197</v>
      </c>
      <c r="J3" s="4" t="s">
        <v>91</v>
      </c>
      <c r="K3" s="5" t="s">
        <v>126</v>
      </c>
      <c r="L3" s="4" t="s">
        <v>8</v>
      </c>
      <c r="M3" s="5"/>
    </row>
    <row r="4" customFormat="false" ht="105" hidden="false" customHeight="true" outlineLevel="0" collapsed="false">
      <c r="A4" s="4" t="s">
        <v>198</v>
      </c>
      <c r="B4" s="4" t="n">
        <v>19</v>
      </c>
      <c r="C4" s="11" t="s">
        <v>199</v>
      </c>
      <c r="D4" s="5" t="s">
        <v>200</v>
      </c>
      <c r="E4" s="5" t="s">
        <v>201</v>
      </c>
      <c r="F4" s="5" t="s">
        <v>202</v>
      </c>
      <c r="G4" s="5" t="s">
        <v>203</v>
      </c>
      <c r="H4" s="4" t="s">
        <v>124</v>
      </c>
      <c r="I4" s="4" t="s">
        <v>204</v>
      </c>
      <c r="J4" s="4" t="s">
        <v>205</v>
      </c>
      <c r="K4" s="5" t="s">
        <v>126</v>
      </c>
      <c r="L4" s="4" t="s">
        <v>8</v>
      </c>
      <c r="M4" s="5"/>
    </row>
    <row r="5" customFormat="false" ht="105" hidden="false" customHeight="true" outlineLevel="0" collapsed="false">
      <c r="A5" s="4" t="s">
        <v>206</v>
      </c>
      <c r="B5" s="4" t="n">
        <v>20</v>
      </c>
      <c r="C5" s="11" t="s">
        <v>207</v>
      </c>
      <c r="D5" s="5" t="s">
        <v>208</v>
      </c>
      <c r="E5" s="5" t="s">
        <v>209</v>
      </c>
      <c r="F5" s="5" t="s">
        <v>210</v>
      </c>
      <c r="G5" s="5" t="s">
        <v>211</v>
      </c>
      <c r="H5" s="4" t="s">
        <v>124</v>
      </c>
      <c r="I5" s="4" t="s">
        <v>198</v>
      </c>
      <c r="J5" s="4" t="s">
        <v>212</v>
      </c>
      <c r="K5" s="5" t="s">
        <v>84</v>
      </c>
      <c r="L5" s="4" t="s">
        <v>8</v>
      </c>
      <c r="M5" s="5"/>
    </row>
    <row r="6" customFormat="false" ht="105" hidden="false" customHeight="true" outlineLevel="0" collapsed="false">
      <c r="A6" s="4" t="s">
        <v>213</v>
      </c>
      <c r="B6" s="4" t="n">
        <v>21</v>
      </c>
      <c r="C6" s="11" t="s">
        <v>214</v>
      </c>
      <c r="D6" s="5" t="s">
        <v>215</v>
      </c>
      <c r="E6" s="5" t="s">
        <v>216</v>
      </c>
      <c r="F6" s="5" t="s">
        <v>217</v>
      </c>
      <c r="G6" s="5" t="s">
        <v>218</v>
      </c>
      <c r="H6" s="4" t="s">
        <v>81</v>
      </c>
      <c r="I6" s="4" t="s">
        <v>206</v>
      </c>
      <c r="J6" s="4" t="s">
        <v>82</v>
      </c>
      <c r="K6" s="5" t="s">
        <v>84</v>
      </c>
      <c r="L6" s="4" t="s">
        <v>8</v>
      </c>
      <c r="M6" s="5"/>
    </row>
    <row r="7" customFormat="false" ht="105" hidden="false" customHeight="true" outlineLevel="0" collapsed="false">
      <c r="A7" s="4" t="s">
        <v>219</v>
      </c>
      <c r="B7" s="4" t="n">
        <v>22</v>
      </c>
      <c r="C7" s="11" t="s">
        <v>220</v>
      </c>
      <c r="D7" s="5" t="s">
        <v>221</v>
      </c>
      <c r="E7" s="5" t="s">
        <v>222</v>
      </c>
      <c r="F7" s="5" t="s">
        <v>223</v>
      </c>
      <c r="G7" s="5" t="s">
        <v>224</v>
      </c>
      <c r="H7" s="4" t="s">
        <v>26</v>
      </c>
      <c r="I7" s="4" t="s">
        <v>225</v>
      </c>
      <c r="J7" s="4" t="s">
        <v>82</v>
      </c>
      <c r="K7" s="5" t="s">
        <v>84</v>
      </c>
      <c r="L7" s="4" t="s">
        <v>8</v>
      </c>
      <c r="M7" s="5"/>
    </row>
    <row r="8" customFormat="false" ht="105" hidden="false" customHeight="true" outlineLevel="0" collapsed="false">
      <c r="A8" s="4" t="s">
        <v>226</v>
      </c>
      <c r="B8" s="4" t="n">
        <v>23</v>
      </c>
      <c r="C8" s="11" t="s">
        <v>227</v>
      </c>
      <c r="D8" s="5" t="s">
        <v>228</v>
      </c>
      <c r="E8" s="5" t="s">
        <v>229</v>
      </c>
      <c r="F8" s="5" t="s">
        <v>230</v>
      </c>
      <c r="G8" s="5" t="s">
        <v>231</v>
      </c>
      <c r="H8" s="4" t="s">
        <v>26</v>
      </c>
      <c r="I8" s="4" t="s">
        <v>198</v>
      </c>
      <c r="J8" s="4" t="s">
        <v>82</v>
      </c>
      <c r="K8" s="5" t="s">
        <v>84</v>
      </c>
      <c r="L8" s="4" t="s">
        <v>8</v>
      </c>
      <c r="M8" s="5"/>
    </row>
  </sheetData>
  <autoFilter ref="A1:M8"/>
  <conditionalFormatting sqref="L2:L8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8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8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232</v>
      </c>
      <c r="B2" s="4" t="n">
        <v>24</v>
      </c>
      <c r="C2" s="11" t="s">
        <v>233</v>
      </c>
      <c r="D2" s="5" t="s">
        <v>234</v>
      </c>
      <c r="E2" s="5" t="s">
        <v>235</v>
      </c>
      <c r="F2" s="5" t="s">
        <v>236</v>
      </c>
      <c r="G2" s="5" t="s">
        <v>237</v>
      </c>
      <c r="H2" s="4" t="s">
        <v>26</v>
      </c>
      <c r="I2" s="4" t="s">
        <v>185</v>
      </c>
      <c r="J2" s="4" t="s">
        <v>133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238</v>
      </c>
      <c r="B3" s="4" t="n">
        <v>25</v>
      </c>
      <c r="C3" s="11" t="s">
        <v>239</v>
      </c>
      <c r="D3" s="5" t="s">
        <v>240</v>
      </c>
      <c r="E3" s="5" t="s">
        <v>241</v>
      </c>
      <c r="F3" s="5" t="s">
        <v>242</v>
      </c>
      <c r="G3" s="5" t="s">
        <v>243</v>
      </c>
      <c r="H3" s="4" t="s">
        <v>26</v>
      </c>
      <c r="I3" s="4" t="s">
        <v>232</v>
      </c>
      <c r="J3" s="4" t="s">
        <v>82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244</v>
      </c>
      <c r="B4" s="4" t="n">
        <v>26</v>
      </c>
      <c r="C4" s="11" t="s">
        <v>245</v>
      </c>
      <c r="D4" s="5" t="s">
        <v>246</v>
      </c>
      <c r="E4" s="5" t="s">
        <v>247</v>
      </c>
      <c r="F4" s="5" t="s">
        <v>248</v>
      </c>
      <c r="G4" s="5" t="s">
        <v>249</v>
      </c>
      <c r="H4" s="4" t="s">
        <v>124</v>
      </c>
      <c r="I4" s="4" t="s">
        <v>238</v>
      </c>
      <c r="J4" s="4" t="s">
        <v>250</v>
      </c>
      <c r="K4" s="5" t="s">
        <v>126</v>
      </c>
      <c r="L4" s="4" t="s">
        <v>8</v>
      </c>
      <c r="M4" s="5"/>
    </row>
    <row r="5" customFormat="false" ht="105" hidden="false" customHeight="true" outlineLevel="0" collapsed="false">
      <c r="A5" s="4" t="s">
        <v>251</v>
      </c>
      <c r="B5" s="4" t="n">
        <v>27</v>
      </c>
      <c r="C5" s="11" t="s">
        <v>252</v>
      </c>
      <c r="D5" s="5" t="s">
        <v>253</v>
      </c>
      <c r="E5" s="5" t="s">
        <v>254</v>
      </c>
      <c r="F5" s="5" t="s">
        <v>255</v>
      </c>
      <c r="G5" s="5" t="s">
        <v>256</v>
      </c>
      <c r="H5" s="4" t="s">
        <v>124</v>
      </c>
      <c r="I5" s="4" t="s">
        <v>257</v>
      </c>
      <c r="J5" s="4" t="s">
        <v>212</v>
      </c>
      <c r="K5" s="5" t="s">
        <v>84</v>
      </c>
      <c r="L5" s="4" t="s">
        <v>8</v>
      </c>
      <c r="M5" s="5"/>
    </row>
    <row r="6" customFormat="false" ht="105" hidden="false" customHeight="true" outlineLevel="0" collapsed="false">
      <c r="A6" s="4" t="s">
        <v>258</v>
      </c>
      <c r="B6" s="4" t="n">
        <v>28</v>
      </c>
      <c r="C6" s="11" t="s">
        <v>259</v>
      </c>
      <c r="D6" s="5" t="s">
        <v>260</v>
      </c>
      <c r="E6" s="5" t="s">
        <v>261</v>
      </c>
      <c r="F6" s="5" t="s">
        <v>262</v>
      </c>
      <c r="G6" s="5" t="s">
        <v>263</v>
      </c>
      <c r="H6" s="4" t="s">
        <v>124</v>
      </c>
      <c r="I6" s="4" t="s">
        <v>251</v>
      </c>
      <c r="J6" s="4" t="s">
        <v>82</v>
      </c>
      <c r="K6" s="5" t="s">
        <v>84</v>
      </c>
      <c r="L6" s="4" t="s">
        <v>8</v>
      </c>
      <c r="M6" s="5"/>
    </row>
    <row r="7" customFormat="false" ht="105" hidden="false" customHeight="true" outlineLevel="0" collapsed="false">
      <c r="A7" s="4" t="s">
        <v>264</v>
      </c>
      <c r="B7" s="4" t="n">
        <v>29</v>
      </c>
      <c r="C7" s="11" t="s">
        <v>265</v>
      </c>
      <c r="D7" s="5" t="s">
        <v>266</v>
      </c>
      <c r="E7" s="5" t="s">
        <v>267</v>
      </c>
      <c r="F7" s="5" t="s">
        <v>268</v>
      </c>
      <c r="G7" s="5" t="s">
        <v>269</v>
      </c>
      <c r="H7" s="4" t="s">
        <v>26</v>
      </c>
      <c r="I7" s="4" t="s">
        <v>258</v>
      </c>
      <c r="J7" s="4" t="s">
        <v>82</v>
      </c>
      <c r="K7" s="5" t="s">
        <v>84</v>
      </c>
      <c r="L7" s="4" t="s">
        <v>8</v>
      </c>
      <c r="M7" s="5"/>
    </row>
    <row r="8" customFormat="false" ht="105" hidden="false" customHeight="true" outlineLevel="0" collapsed="false">
      <c r="A8" s="4" t="s">
        <v>270</v>
      </c>
      <c r="B8" s="4" t="n">
        <v>30</v>
      </c>
      <c r="C8" s="11" t="s">
        <v>271</v>
      </c>
      <c r="D8" s="5" t="s">
        <v>272</v>
      </c>
      <c r="E8" s="5" t="s">
        <v>273</v>
      </c>
      <c r="F8" s="5" t="s">
        <v>274</v>
      </c>
      <c r="G8" s="5" t="s">
        <v>275</v>
      </c>
      <c r="H8" s="4" t="s">
        <v>26</v>
      </c>
      <c r="I8" s="4" t="s">
        <v>264</v>
      </c>
      <c r="J8" s="4" t="s">
        <v>82</v>
      </c>
      <c r="K8" s="5" t="s">
        <v>84</v>
      </c>
      <c r="L8" s="4" t="s">
        <v>8</v>
      </c>
      <c r="M8" s="5"/>
    </row>
    <row r="9" customFormat="false" ht="105" hidden="false" customHeight="true" outlineLevel="0" collapsed="false">
      <c r="A9" s="4" t="s">
        <v>276</v>
      </c>
      <c r="B9" s="4" t="n">
        <v>31</v>
      </c>
      <c r="C9" s="11" t="s">
        <v>277</v>
      </c>
      <c r="D9" s="5" t="s">
        <v>278</v>
      </c>
      <c r="E9" s="5" t="s">
        <v>279</v>
      </c>
      <c r="F9" s="5" t="s">
        <v>280</v>
      </c>
      <c r="G9" s="5" t="s">
        <v>281</v>
      </c>
      <c r="H9" s="4" t="s">
        <v>26</v>
      </c>
      <c r="I9" s="4" t="s">
        <v>270</v>
      </c>
      <c r="J9" s="4" t="s">
        <v>82</v>
      </c>
      <c r="K9" s="5" t="s">
        <v>84</v>
      </c>
      <c r="L9" s="4" t="s">
        <v>8</v>
      </c>
      <c r="M9" s="5"/>
    </row>
    <row r="10" customFormat="false" ht="105" hidden="false" customHeight="true" outlineLevel="0" collapsed="false">
      <c r="A10" s="4" t="s">
        <v>282</v>
      </c>
      <c r="B10" s="4" t="n">
        <v>32</v>
      </c>
      <c r="C10" s="11" t="s">
        <v>283</v>
      </c>
      <c r="D10" s="5" t="s">
        <v>284</v>
      </c>
      <c r="E10" s="5" t="s">
        <v>285</v>
      </c>
      <c r="F10" s="5" t="s">
        <v>286</v>
      </c>
      <c r="G10" s="5" t="s">
        <v>287</v>
      </c>
      <c r="H10" s="4" t="s">
        <v>26</v>
      </c>
      <c r="I10" s="4" t="s">
        <v>288</v>
      </c>
      <c r="J10" s="4" t="s">
        <v>250</v>
      </c>
      <c r="K10" s="5" t="s">
        <v>84</v>
      </c>
      <c r="L10" s="4" t="s">
        <v>8</v>
      </c>
      <c r="M10" s="5"/>
    </row>
  </sheetData>
  <autoFilter ref="A1:M10"/>
  <conditionalFormatting sqref="L2:L10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10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10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289</v>
      </c>
      <c r="B2" s="4" t="n">
        <v>33</v>
      </c>
      <c r="C2" s="11" t="s">
        <v>290</v>
      </c>
      <c r="D2" s="5" t="s">
        <v>291</v>
      </c>
      <c r="E2" s="5" t="s">
        <v>292</v>
      </c>
      <c r="F2" s="5" t="s">
        <v>293</v>
      </c>
      <c r="G2" s="5" t="s">
        <v>294</v>
      </c>
      <c r="H2" s="4" t="s">
        <v>26</v>
      </c>
      <c r="I2" s="4" t="s">
        <v>276</v>
      </c>
      <c r="J2" s="4" t="s">
        <v>82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295</v>
      </c>
      <c r="B3" s="4" t="n">
        <v>34</v>
      </c>
      <c r="C3" s="11" t="s">
        <v>296</v>
      </c>
      <c r="D3" s="5" t="s">
        <v>297</v>
      </c>
      <c r="E3" s="5" t="s">
        <v>298</v>
      </c>
      <c r="F3" s="5" t="s">
        <v>299</v>
      </c>
      <c r="G3" s="5" t="s">
        <v>300</v>
      </c>
      <c r="H3" s="4" t="s">
        <v>26</v>
      </c>
      <c r="I3" s="4" t="s">
        <v>289</v>
      </c>
      <c r="J3" s="4" t="s">
        <v>82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301</v>
      </c>
      <c r="B4" s="4" t="n">
        <v>35</v>
      </c>
      <c r="C4" s="11" t="s">
        <v>302</v>
      </c>
      <c r="D4" s="5" t="s">
        <v>303</v>
      </c>
      <c r="E4" s="5" t="s">
        <v>304</v>
      </c>
      <c r="F4" s="5" t="s">
        <v>305</v>
      </c>
      <c r="G4" s="5" t="s">
        <v>306</v>
      </c>
      <c r="H4" s="4" t="s">
        <v>26</v>
      </c>
      <c r="I4" s="4" t="s">
        <v>289</v>
      </c>
      <c r="J4" s="4" t="s">
        <v>82</v>
      </c>
      <c r="K4" s="5" t="s">
        <v>84</v>
      </c>
      <c r="L4" s="4" t="s">
        <v>8</v>
      </c>
      <c r="M4" s="5"/>
    </row>
    <row r="5" customFormat="false" ht="105" hidden="false" customHeight="true" outlineLevel="0" collapsed="false">
      <c r="A5" s="4" t="s">
        <v>307</v>
      </c>
      <c r="B5" s="4" t="n">
        <v>36</v>
      </c>
      <c r="C5" s="11" t="s">
        <v>308</v>
      </c>
      <c r="D5" s="5" t="s">
        <v>309</v>
      </c>
      <c r="E5" s="5" t="s">
        <v>310</v>
      </c>
      <c r="F5" s="5" t="s">
        <v>311</v>
      </c>
      <c r="G5" s="5" t="s">
        <v>312</v>
      </c>
      <c r="H5" s="4" t="s">
        <v>124</v>
      </c>
      <c r="I5" s="4" t="s">
        <v>313</v>
      </c>
      <c r="J5" s="4" t="s">
        <v>212</v>
      </c>
      <c r="K5" s="5" t="s">
        <v>126</v>
      </c>
      <c r="L5" s="4" t="s">
        <v>8</v>
      </c>
      <c r="M5" s="5"/>
    </row>
    <row r="6" customFormat="false" ht="105" hidden="false" customHeight="true" outlineLevel="0" collapsed="false">
      <c r="A6" s="4" t="s">
        <v>314</v>
      </c>
      <c r="B6" s="4" t="n">
        <v>37</v>
      </c>
      <c r="C6" s="11" t="s">
        <v>315</v>
      </c>
      <c r="D6" s="5" t="s">
        <v>316</v>
      </c>
      <c r="E6" s="5" t="s">
        <v>317</v>
      </c>
      <c r="F6" s="5" t="s">
        <v>318</v>
      </c>
      <c r="G6" s="5" t="s">
        <v>319</v>
      </c>
      <c r="H6" s="4" t="s">
        <v>81</v>
      </c>
      <c r="I6" s="4" t="s">
        <v>301</v>
      </c>
      <c r="J6" s="4" t="s">
        <v>82</v>
      </c>
      <c r="K6" s="5" t="s">
        <v>84</v>
      </c>
      <c r="L6" s="4" t="s">
        <v>8</v>
      </c>
      <c r="M6" s="5"/>
    </row>
    <row r="7" customFormat="false" ht="105" hidden="false" customHeight="true" outlineLevel="0" collapsed="false">
      <c r="A7" s="4" t="s">
        <v>320</v>
      </c>
      <c r="B7" s="4" t="n">
        <v>38</v>
      </c>
      <c r="C7" s="11" t="s">
        <v>321</v>
      </c>
      <c r="D7" s="5" t="s">
        <v>322</v>
      </c>
      <c r="E7" s="5" t="s">
        <v>323</v>
      </c>
      <c r="F7" s="5" t="s">
        <v>324</v>
      </c>
      <c r="G7" s="5" t="s">
        <v>325</v>
      </c>
      <c r="H7" s="4" t="s">
        <v>26</v>
      </c>
      <c r="I7" s="4" t="s">
        <v>289</v>
      </c>
      <c r="J7" s="4" t="s">
        <v>82</v>
      </c>
      <c r="K7" s="5" t="s">
        <v>84</v>
      </c>
      <c r="L7" s="4" t="s">
        <v>8</v>
      </c>
      <c r="M7" s="5"/>
    </row>
    <row r="8" customFormat="false" ht="105" hidden="false" customHeight="true" outlineLevel="0" collapsed="false">
      <c r="A8" s="4" t="s">
        <v>326</v>
      </c>
      <c r="B8" s="4" t="n">
        <v>39</v>
      </c>
      <c r="C8" s="11" t="s">
        <v>327</v>
      </c>
      <c r="D8" s="5" t="s">
        <v>328</v>
      </c>
      <c r="E8" s="5" t="s">
        <v>329</v>
      </c>
      <c r="F8" s="5" t="s">
        <v>330</v>
      </c>
      <c r="G8" s="5" t="s">
        <v>331</v>
      </c>
      <c r="H8" s="4" t="s">
        <v>26</v>
      </c>
      <c r="I8" s="4" t="s">
        <v>332</v>
      </c>
      <c r="J8" s="4" t="s">
        <v>82</v>
      </c>
      <c r="K8" s="5" t="s">
        <v>84</v>
      </c>
      <c r="L8" s="4" t="s">
        <v>8</v>
      </c>
      <c r="M8" s="5"/>
    </row>
  </sheetData>
  <autoFilter ref="A1:M8"/>
  <conditionalFormatting sqref="L2:L8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8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8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333</v>
      </c>
      <c r="B2" s="4" t="n">
        <v>40</v>
      </c>
      <c r="C2" s="11" t="s">
        <v>334</v>
      </c>
      <c r="D2" s="5" t="s">
        <v>335</v>
      </c>
      <c r="E2" s="5" t="s">
        <v>336</v>
      </c>
      <c r="F2" s="5" t="s">
        <v>337</v>
      </c>
      <c r="G2" s="5" t="s">
        <v>338</v>
      </c>
      <c r="H2" s="4" t="s">
        <v>124</v>
      </c>
      <c r="I2" s="4" t="s">
        <v>326</v>
      </c>
      <c r="J2" s="4" t="s">
        <v>339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340</v>
      </c>
      <c r="B3" s="4" t="n">
        <v>41</v>
      </c>
      <c r="C3" s="11" t="s">
        <v>341</v>
      </c>
      <c r="D3" s="5" t="s">
        <v>342</v>
      </c>
      <c r="E3" s="5" t="s">
        <v>343</v>
      </c>
      <c r="F3" s="5" t="s">
        <v>344</v>
      </c>
      <c r="G3" s="5" t="s">
        <v>345</v>
      </c>
      <c r="H3" s="4" t="s">
        <v>26</v>
      </c>
      <c r="I3" s="4" t="s">
        <v>333</v>
      </c>
      <c r="J3" s="4" t="s">
        <v>82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346</v>
      </c>
      <c r="B4" s="4" t="n">
        <v>42</v>
      </c>
      <c r="C4" s="11" t="s">
        <v>347</v>
      </c>
      <c r="D4" s="5" t="s">
        <v>348</v>
      </c>
      <c r="E4" s="5" t="s">
        <v>349</v>
      </c>
      <c r="F4" s="5" t="s">
        <v>350</v>
      </c>
      <c r="G4" s="5" t="s">
        <v>351</v>
      </c>
      <c r="H4" s="4" t="s">
        <v>26</v>
      </c>
      <c r="I4" s="4" t="s">
        <v>340</v>
      </c>
      <c r="J4" s="4" t="s">
        <v>82</v>
      </c>
      <c r="K4" s="5" t="s">
        <v>84</v>
      </c>
      <c r="L4" s="4" t="s">
        <v>8</v>
      </c>
      <c r="M4" s="5"/>
    </row>
    <row r="5" customFormat="false" ht="105" hidden="false" customHeight="true" outlineLevel="0" collapsed="false">
      <c r="A5" s="4" t="s">
        <v>352</v>
      </c>
      <c r="B5" s="4" t="n">
        <v>43</v>
      </c>
      <c r="C5" s="11" t="s">
        <v>353</v>
      </c>
      <c r="D5" s="5" t="s">
        <v>354</v>
      </c>
      <c r="E5" s="5" t="s">
        <v>355</v>
      </c>
      <c r="F5" s="5" t="s">
        <v>356</v>
      </c>
      <c r="G5" s="5" t="s">
        <v>357</v>
      </c>
      <c r="H5" s="4" t="s">
        <v>26</v>
      </c>
      <c r="I5" s="4" t="s">
        <v>346</v>
      </c>
      <c r="J5" s="4" t="s">
        <v>82</v>
      </c>
      <c r="K5" s="5" t="s">
        <v>84</v>
      </c>
      <c r="L5" s="4" t="s">
        <v>8</v>
      </c>
      <c r="M5" s="5"/>
    </row>
    <row r="6" customFormat="false" ht="105" hidden="false" customHeight="true" outlineLevel="0" collapsed="false">
      <c r="A6" s="4" t="s">
        <v>358</v>
      </c>
      <c r="B6" s="4" t="n">
        <v>44</v>
      </c>
      <c r="C6" s="11" t="s">
        <v>359</v>
      </c>
      <c r="D6" s="5" t="s">
        <v>360</v>
      </c>
      <c r="E6" s="5" t="s">
        <v>361</v>
      </c>
      <c r="F6" s="5" t="s">
        <v>362</v>
      </c>
      <c r="G6" s="5" t="s">
        <v>363</v>
      </c>
      <c r="H6" s="4" t="s">
        <v>26</v>
      </c>
      <c r="I6" s="4" t="s">
        <v>346</v>
      </c>
      <c r="J6" s="4" t="s">
        <v>364</v>
      </c>
      <c r="K6" s="5" t="s">
        <v>365</v>
      </c>
      <c r="L6" s="4" t="s">
        <v>8</v>
      </c>
      <c r="M6" s="5"/>
    </row>
    <row r="7" customFormat="false" ht="105" hidden="false" customHeight="true" outlineLevel="0" collapsed="false">
      <c r="A7" s="4" t="s">
        <v>366</v>
      </c>
      <c r="B7" s="4" t="n">
        <v>45</v>
      </c>
      <c r="C7" s="11" t="s">
        <v>367</v>
      </c>
      <c r="D7" s="5" t="s">
        <v>368</v>
      </c>
      <c r="E7" s="5" t="s">
        <v>369</v>
      </c>
      <c r="F7" s="5" t="s">
        <v>370</v>
      </c>
      <c r="G7" s="5" t="s">
        <v>371</v>
      </c>
      <c r="H7" s="4" t="s">
        <v>26</v>
      </c>
      <c r="I7" s="4" t="s">
        <v>358</v>
      </c>
      <c r="J7" s="4" t="s">
        <v>364</v>
      </c>
      <c r="K7" s="5" t="s">
        <v>365</v>
      </c>
      <c r="L7" s="4" t="s">
        <v>8</v>
      </c>
      <c r="M7" s="5"/>
    </row>
    <row r="8" customFormat="false" ht="105" hidden="false" customHeight="true" outlineLevel="0" collapsed="false">
      <c r="A8" s="4" t="s">
        <v>372</v>
      </c>
      <c r="B8" s="4" t="n">
        <v>46</v>
      </c>
      <c r="C8" s="11" t="s">
        <v>373</v>
      </c>
      <c r="D8" s="5" t="s">
        <v>374</v>
      </c>
      <c r="E8" s="5" t="s">
        <v>375</v>
      </c>
      <c r="F8" s="5" t="s">
        <v>376</v>
      </c>
      <c r="G8" s="5" t="s">
        <v>377</v>
      </c>
      <c r="H8" s="4" t="s">
        <v>26</v>
      </c>
      <c r="I8" s="4" t="s">
        <v>366</v>
      </c>
      <c r="J8" s="4" t="s">
        <v>364</v>
      </c>
      <c r="K8" s="5" t="s">
        <v>378</v>
      </c>
      <c r="L8" s="4" t="s">
        <v>8</v>
      </c>
      <c r="M8" s="5"/>
    </row>
    <row r="9" customFormat="false" ht="105" hidden="false" customHeight="true" outlineLevel="0" collapsed="false">
      <c r="A9" s="4" t="s">
        <v>379</v>
      </c>
      <c r="B9" s="4" t="n">
        <v>47</v>
      </c>
      <c r="C9" s="11" t="s">
        <v>380</v>
      </c>
      <c r="D9" s="5" t="s">
        <v>381</v>
      </c>
      <c r="E9" s="5" t="s">
        <v>382</v>
      </c>
      <c r="F9" s="5" t="s">
        <v>383</v>
      </c>
      <c r="G9" s="5" t="s">
        <v>384</v>
      </c>
      <c r="H9" s="4" t="s">
        <v>26</v>
      </c>
      <c r="I9" s="4" t="s">
        <v>372</v>
      </c>
      <c r="J9" s="4" t="s">
        <v>82</v>
      </c>
      <c r="K9" s="5" t="s">
        <v>84</v>
      </c>
      <c r="L9" s="4" t="s">
        <v>8</v>
      </c>
      <c r="M9" s="5"/>
    </row>
  </sheetData>
  <autoFilter ref="A1:M9"/>
  <conditionalFormatting sqref="L2:L9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9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9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385</v>
      </c>
      <c r="B2" s="4" t="n">
        <v>48</v>
      </c>
      <c r="C2" s="11" t="s">
        <v>386</v>
      </c>
      <c r="D2" s="5" t="s">
        <v>387</v>
      </c>
      <c r="E2" s="5" t="s">
        <v>388</v>
      </c>
      <c r="F2" s="5" t="s">
        <v>389</v>
      </c>
      <c r="G2" s="5" t="s">
        <v>390</v>
      </c>
      <c r="H2" s="4" t="s">
        <v>26</v>
      </c>
      <c r="I2" s="4" t="s">
        <v>346</v>
      </c>
      <c r="J2" s="4" t="s">
        <v>82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391</v>
      </c>
      <c r="B3" s="4" t="n">
        <v>49</v>
      </c>
      <c r="C3" s="11" t="s">
        <v>392</v>
      </c>
      <c r="D3" s="5" t="s">
        <v>393</v>
      </c>
      <c r="E3" s="5" t="s">
        <v>394</v>
      </c>
      <c r="F3" s="5" t="s">
        <v>395</v>
      </c>
      <c r="G3" s="5" t="s">
        <v>396</v>
      </c>
      <c r="H3" s="4" t="s">
        <v>124</v>
      </c>
      <c r="I3" s="4" t="s">
        <v>397</v>
      </c>
      <c r="J3" s="4" t="s">
        <v>250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398</v>
      </c>
      <c r="B4" s="4" t="n">
        <v>50</v>
      </c>
      <c r="C4" s="11" t="s">
        <v>399</v>
      </c>
      <c r="D4" s="5" t="s">
        <v>400</v>
      </c>
      <c r="E4" s="5" t="s">
        <v>401</v>
      </c>
      <c r="F4" s="5" t="s">
        <v>402</v>
      </c>
      <c r="G4" s="5" t="s">
        <v>403</v>
      </c>
      <c r="H4" s="4" t="s">
        <v>124</v>
      </c>
      <c r="I4" s="4" t="s">
        <v>404</v>
      </c>
      <c r="J4" s="4" t="s">
        <v>212</v>
      </c>
      <c r="K4" s="5" t="s">
        <v>126</v>
      </c>
      <c r="L4" s="4" t="s">
        <v>8</v>
      </c>
      <c r="M4" s="5"/>
    </row>
    <row r="5" customFormat="false" ht="105" hidden="false" customHeight="true" outlineLevel="0" collapsed="false">
      <c r="A5" s="4" t="s">
        <v>405</v>
      </c>
      <c r="B5" s="4" t="n">
        <v>51</v>
      </c>
      <c r="C5" s="11" t="s">
        <v>406</v>
      </c>
      <c r="D5" s="5" t="s">
        <v>407</v>
      </c>
      <c r="E5" s="5" t="s">
        <v>408</v>
      </c>
      <c r="F5" s="5" t="s">
        <v>409</v>
      </c>
      <c r="G5" s="5" t="s">
        <v>410</v>
      </c>
      <c r="H5" s="4" t="s">
        <v>81</v>
      </c>
      <c r="I5" s="4" t="s">
        <v>385</v>
      </c>
      <c r="J5" s="4" t="s">
        <v>82</v>
      </c>
      <c r="K5" s="5" t="s">
        <v>84</v>
      </c>
      <c r="L5" s="4" t="s">
        <v>8</v>
      </c>
      <c r="M5" s="5"/>
    </row>
    <row r="6" customFormat="false" ht="105" hidden="false" customHeight="true" outlineLevel="0" collapsed="false">
      <c r="A6" s="4" t="s">
        <v>411</v>
      </c>
      <c r="B6" s="4" t="n">
        <v>52</v>
      </c>
      <c r="C6" s="11" t="s">
        <v>412</v>
      </c>
      <c r="D6" s="5" t="s">
        <v>413</v>
      </c>
      <c r="E6" s="5" t="s">
        <v>414</v>
      </c>
      <c r="F6" s="5" t="s">
        <v>415</v>
      </c>
      <c r="G6" s="5" t="s">
        <v>416</v>
      </c>
      <c r="H6" s="4" t="s">
        <v>124</v>
      </c>
      <c r="I6" s="4" t="s">
        <v>417</v>
      </c>
      <c r="J6" s="4" t="s">
        <v>418</v>
      </c>
      <c r="K6" s="5" t="s">
        <v>126</v>
      </c>
      <c r="L6" s="4" t="s">
        <v>8</v>
      </c>
      <c r="M6" s="5"/>
    </row>
    <row r="7" customFormat="false" ht="105" hidden="false" customHeight="true" outlineLevel="0" collapsed="false">
      <c r="A7" s="4" t="s">
        <v>419</v>
      </c>
      <c r="B7" s="4" t="n">
        <v>53</v>
      </c>
      <c r="C7" s="11" t="s">
        <v>420</v>
      </c>
      <c r="D7" s="5" t="s">
        <v>421</v>
      </c>
      <c r="E7" s="5" t="s">
        <v>422</v>
      </c>
      <c r="F7" s="5" t="s">
        <v>423</v>
      </c>
      <c r="G7" s="5" t="s">
        <v>424</v>
      </c>
      <c r="H7" s="4" t="s">
        <v>26</v>
      </c>
      <c r="I7" s="4" t="s">
        <v>411</v>
      </c>
      <c r="J7" s="4" t="s">
        <v>82</v>
      </c>
      <c r="K7" s="5" t="s">
        <v>84</v>
      </c>
      <c r="L7" s="4" t="s">
        <v>8</v>
      </c>
      <c r="M7" s="5"/>
    </row>
    <row r="8" customFormat="false" ht="105" hidden="false" customHeight="true" outlineLevel="0" collapsed="false">
      <c r="A8" s="4" t="s">
        <v>425</v>
      </c>
      <c r="B8" s="4" t="n">
        <v>54</v>
      </c>
      <c r="C8" s="11" t="s">
        <v>426</v>
      </c>
      <c r="D8" s="5" t="s">
        <v>427</v>
      </c>
      <c r="E8" s="5" t="s">
        <v>428</v>
      </c>
      <c r="F8" s="5" t="s">
        <v>429</v>
      </c>
      <c r="G8" s="5" t="s">
        <v>430</v>
      </c>
      <c r="H8" s="4" t="s">
        <v>26</v>
      </c>
      <c r="I8" s="4" t="s">
        <v>346</v>
      </c>
      <c r="J8" s="4" t="s">
        <v>82</v>
      </c>
      <c r="K8" s="5" t="s">
        <v>84</v>
      </c>
      <c r="L8" s="4" t="s">
        <v>8</v>
      </c>
      <c r="M8" s="5"/>
    </row>
    <row r="9" customFormat="false" ht="105" hidden="false" customHeight="true" outlineLevel="0" collapsed="false">
      <c r="A9" s="4" t="s">
        <v>431</v>
      </c>
      <c r="B9" s="4" t="n">
        <v>55</v>
      </c>
      <c r="C9" s="11" t="s">
        <v>432</v>
      </c>
      <c r="D9" s="5" t="s">
        <v>433</v>
      </c>
      <c r="E9" s="5" t="s">
        <v>434</v>
      </c>
      <c r="F9" s="5" t="s">
        <v>435</v>
      </c>
      <c r="G9" s="5" t="s">
        <v>436</v>
      </c>
      <c r="H9" s="4" t="s">
        <v>124</v>
      </c>
      <c r="I9" s="4" t="s">
        <v>437</v>
      </c>
      <c r="J9" s="4" t="s">
        <v>205</v>
      </c>
      <c r="K9" s="5" t="s">
        <v>84</v>
      </c>
      <c r="L9" s="4" t="s">
        <v>8</v>
      </c>
      <c r="M9" s="5"/>
    </row>
    <row r="10" customFormat="false" ht="105" hidden="false" customHeight="true" outlineLevel="0" collapsed="false">
      <c r="A10" s="4" t="s">
        <v>438</v>
      </c>
      <c r="B10" s="4" t="n">
        <v>56</v>
      </c>
      <c r="C10" s="11" t="s">
        <v>439</v>
      </c>
      <c r="D10" s="5" t="s">
        <v>440</v>
      </c>
      <c r="E10" s="5" t="s">
        <v>441</v>
      </c>
      <c r="F10" s="5" t="s">
        <v>442</v>
      </c>
      <c r="G10" s="5" t="s">
        <v>443</v>
      </c>
      <c r="H10" s="4" t="s">
        <v>26</v>
      </c>
      <c r="I10" s="4" t="s">
        <v>419</v>
      </c>
      <c r="J10" s="4" t="s">
        <v>418</v>
      </c>
      <c r="K10" s="5" t="s">
        <v>84</v>
      </c>
      <c r="L10" s="4" t="s">
        <v>8</v>
      </c>
      <c r="M10" s="5"/>
    </row>
  </sheetData>
  <autoFilter ref="A1:M10"/>
  <conditionalFormatting sqref="L2:L10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10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10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44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3" t="s">
        <v>64</v>
      </c>
      <c r="B1" s="3" t="s">
        <v>63</v>
      </c>
      <c r="C1" s="3" t="s">
        <v>65</v>
      </c>
      <c r="D1" s="3" t="s">
        <v>5</v>
      </c>
      <c r="E1" s="3" t="s">
        <v>69</v>
      </c>
      <c r="F1" s="3" t="s">
        <v>70</v>
      </c>
      <c r="G1" s="3" t="s">
        <v>71</v>
      </c>
      <c r="H1" s="3" t="s">
        <v>67</v>
      </c>
      <c r="I1" s="3" t="s">
        <v>66</v>
      </c>
      <c r="J1" s="3" t="s">
        <v>72</v>
      </c>
      <c r="K1" s="3" t="s">
        <v>73</v>
      </c>
      <c r="L1" s="3" t="s">
        <v>68</v>
      </c>
      <c r="M1" s="3" t="s">
        <v>74</v>
      </c>
    </row>
    <row r="2" customFormat="false" ht="105" hidden="false" customHeight="true" outlineLevel="0" collapsed="false">
      <c r="A2" s="4" t="s">
        <v>444</v>
      </c>
      <c r="B2" s="4" t="n">
        <v>57</v>
      </c>
      <c r="C2" s="11" t="s">
        <v>445</v>
      </c>
      <c r="D2" s="5" t="s">
        <v>446</v>
      </c>
      <c r="E2" s="5" t="s">
        <v>447</v>
      </c>
      <c r="F2" s="5" t="s">
        <v>448</v>
      </c>
      <c r="G2" s="5" t="s">
        <v>449</v>
      </c>
      <c r="H2" s="4" t="s">
        <v>81</v>
      </c>
      <c r="I2" s="4" t="s">
        <v>438</v>
      </c>
      <c r="J2" s="4" t="s">
        <v>82</v>
      </c>
      <c r="K2" s="5" t="s">
        <v>84</v>
      </c>
      <c r="L2" s="4" t="s">
        <v>8</v>
      </c>
      <c r="M2" s="5"/>
    </row>
    <row r="3" customFormat="false" ht="105" hidden="false" customHeight="true" outlineLevel="0" collapsed="false">
      <c r="A3" s="4" t="s">
        <v>450</v>
      </c>
      <c r="B3" s="4" t="n">
        <v>58</v>
      </c>
      <c r="C3" s="11" t="s">
        <v>451</v>
      </c>
      <c r="D3" s="5" t="s">
        <v>452</v>
      </c>
      <c r="E3" s="5" t="s">
        <v>453</v>
      </c>
      <c r="F3" s="5" t="s">
        <v>454</v>
      </c>
      <c r="G3" s="5" t="s">
        <v>455</v>
      </c>
      <c r="H3" s="4" t="s">
        <v>81</v>
      </c>
      <c r="I3" s="4" t="s">
        <v>444</v>
      </c>
      <c r="J3" s="4" t="s">
        <v>82</v>
      </c>
      <c r="K3" s="5" t="s">
        <v>84</v>
      </c>
      <c r="L3" s="4" t="s">
        <v>8</v>
      </c>
      <c r="M3" s="5"/>
    </row>
    <row r="4" customFormat="false" ht="105" hidden="false" customHeight="true" outlineLevel="0" collapsed="false">
      <c r="A4" s="4" t="s">
        <v>456</v>
      </c>
      <c r="B4" s="4" t="n">
        <v>59</v>
      </c>
      <c r="C4" s="11" t="s">
        <v>457</v>
      </c>
      <c r="D4" s="5" t="s">
        <v>458</v>
      </c>
      <c r="E4" s="5" t="s">
        <v>459</v>
      </c>
      <c r="F4" s="5" t="s">
        <v>460</v>
      </c>
      <c r="G4" s="5" t="s">
        <v>461</v>
      </c>
      <c r="H4" s="4" t="s">
        <v>26</v>
      </c>
      <c r="I4" s="4" t="s">
        <v>450</v>
      </c>
      <c r="J4" s="4" t="s">
        <v>82</v>
      </c>
      <c r="K4" s="5" t="s">
        <v>84</v>
      </c>
      <c r="L4" s="4" t="s">
        <v>8</v>
      </c>
      <c r="M4" s="5"/>
    </row>
    <row r="5" customFormat="false" ht="105" hidden="false" customHeight="true" outlineLevel="0" collapsed="false">
      <c r="A5" s="4" t="s">
        <v>462</v>
      </c>
      <c r="B5" s="4" t="n">
        <v>60</v>
      </c>
      <c r="C5" s="11" t="s">
        <v>463</v>
      </c>
      <c r="D5" s="5" t="s">
        <v>464</v>
      </c>
      <c r="E5" s="5" t="s">
        <v>465</v>
      </c>
      <c r="F5" s="5" t="s">
        <v>466</v>
      </c>
      <c r="G5" s="5" t="s">
        <v>467</v>
      </c>
      <c r="H5" s="4" t="s">
        <v>26</v>
      </c>
      <c r="I5" s="4" t="s">
        <v>456</v>
      </c>
      <c r="J5" s="4" t="s">
        <v>468</v>
      </c>
      <c r="K5" s="5" t="s">
        <v>469</v>
      </c>
      <c r="L5" s="4" t="s">
        <v>8</v>
      </c>
      <c r="M5" s="5"/>
    </row>
    <row r="6" customFormat="false" ht="105" hidden="false" customHeight="true" outlineLevel="0" collapsed="false">
      <c r="A6" s="4" t="s">
        <v>470</v>
      </c>
      <c r="B6" s="4" t="n">
        <v>61</v>
      </c>
      <c r="C6" s="11" t="s">
        <v>471</v>
      </c>
      <c r="D6" s="5" t="s">
        <v>472</v>
      </c>
      <c r="E6" s="5" t="s">
        <v>473</v>
      </c>
      <c r="F6" s="5" t="s">
        <v>474</v>
      </c>
      <c r="G6" s="5" t="s">
        <v>475</v>
      </c>
      <c r="H6" s="4" t="s">
        <v>124</v>
      </c>
      <c r="I6" s="4" t="s">
        <v>456</v>
      </c>
      <c r="J6" s="4" t="s">
        <v>339</v>
      </c>
      <c r="K6" s="5" t="s">
        <v>82</v>
      </c>
      <c r="L6" s="4" t="s">
        <v>8</v>
      </c>
      <c r="M6" s="5"/>
    </row>
    <row r="7" customFormat="false" ht="105" hidden="false" customHeight="true" outlineLevel="0" collapsed="false">
      <c r="A7" s="4" t="s">
        <v>476</v>
      </c>
      <c r="B7" s="4" t="n">
        <v>62</v>
      </c>
      <c r="C7" s="11" t="s">
        <v>477</v>
      </c>
      <c r="D7" s="5" t="s">
        <v>478</v>
      </c>
      <c r="E7" s="5" t="s">
        <v>479</v>
      </c>
      <c r="F7" s="5" t="s">
        <v>480</v>
      </c>
      <c r="G7" s="5" t="s">
        <v>481</v>
      </c>
      <c r="H7" s="4" t="s">
        <v>26</v>
      </c>
      <c r="I7" s="4" t="s">
        <v>482</v>
      </c>
      <c r="J7" s="4" t="s">
        <v>483</v>
      </c>
      <c r="K7" s="5" t="s">
        <v>484</v>
      </c>
      <c r="L7" s="4" t="s">
        <v>8</v>
      </c>
      <c r="M7" s="5"/>
    </row>
    <row r="8" customFormat="false" ht="105" hidden="false" customHeight="true" outlineLevel="0" collapsed="false">
      <c r="A8" s="4" t="s">
        <v>485</v>
      </c>
      <c r="B8" s="4" t="n">
        <v>63</v>
      </c>
      <c r="C8" s="11" t="s">
        <v>486</v>
      </c>
      <c r="D8" s="5" t="s">
        <v>487</v>
      </c>
      <c r="E8" s="5" t="s">
        <v>488</v>
      </c>
      <c r="F8" s="5" t="s">
        <v>489</v>
      </c>
      <c r="G8" s="5" t="s">
        <v>490</v>
      </c>
      <c r="H8" s="4" t="s">
        <v>26</v>
      </c>
      <c r="I8" s="4" t="s">
        <v>476</v>
      </c>
      <c r="J8" s="4" t="s">
        <v>483</v>
      </c>
      <c r="K8" s="5" t="s">
        <v>484</v>
      </c>
      <c r="L8" s="4" t="s">
        <v>8</v>
      </c>
      <c r="M8" s="5"/>
    </row>
    <row r="9" customFormat="false" ht="105" hidden="false" customHeight="true" outlineLevel="0" collapsed="false">
      <c r="A9" s="4" t="s">
        <v>491</v>
      </c>
      <c r="B9" s="4" t="n">
        <v>64</v>
      </c>
      <c r="C9" s="11" t="s">
        <v>492</v>
      </c>
      <c r="D9" s="5" t="s">
        <v>493</v>
      </c>
      <c r="E9" s="5" t="s">
        <v>494</v>
      </c>
      <c r="F9" s="5" t="s">
        <v>495</v>
      </c>
      <c r="G9" s="5" t="s">
        <v>496</v>
      </c>
      <c r="H9" s="4" t="s">
        <v>81</v>
      </c>
      <c r="I9" s="4" t="s">
        <v>485</v>
      </c>
      <c r="J9" s="4" t="s">
        <v>497</v>
      </c>
      <c r="K9" s="5" t="s">
        <v>84</v>
      </c>
      <c r="L9" s="4" t="s">
        <v>8</v>
      </c>
      <c r="M9" s="5"/>
    </row>
  </sheetData>
  <autoFilter ref="A1:M9"/>
  <conditionalFormatting sqref="L2:L9">
    <cfRule type="cellIs" priority="2" operator="equal" aboveAverage="0" equalAverage="0" bottom="0" percent="0" rank="0" text="" dxfId="1">
      <formula>"Non fait"</formula>
    </cfRule>
    <cfRule type="cellIs" priority="3" operator="equal" aboveAverage="0" equalAverage="0" bottom="0" percent="0" rank="0" text="" dxfId="2">
      <formula>"En cours"</formula>
    </cfRule>
    <cfRule type="cellIs" priority="4" operator="equal" aboveAverage="0" equalAverage="0" bottom="0" percent="0" rank="0" text="" dxfId="3">
      <formula>"À valider"</formula>
    </cfRule>
    <cfRule type="cellIs" priority="5" operator="equal" aboveAverage="0" equalAverage="0" bottom="0" percent="0" rank="0" text="" dxfId="0">
      <formula>"Validé"</formula>
    </cfRule>
  </conditionalFormatting>
  <conditionalFormatting sqref="H2:H9">
    <cfRule type="cellIs" priority="6" operator="equal" aboveAverage="0" equalAverage="0" bottom="0" percent="0" rank="0" text="" dxfId="4">
      <formula>"Opus"</formula>
    </cfRule>
    <cfRule type="cellIs" priority="7" operator="equal" aboveAverage="0" equalAverage="0" bottom="0" percent="0" rank="0" text="" dxfId="5">
      <formula>"Sonnet"</formula>
    </cfRule>
    <cfRule type="cellIs" priority="8" operator="equal" aboveAverage="0" equalAverage="0" bottom="0" percent="0" rank="0" text="" dxfId="6">
      <formula>"Haiku"</formula>
    </cfRule>
  </conditionalFormatting>
  <dataValidations count="1">
    <dataValidation allowBlank="false" error="Statut invalide" errorStyle="stop" errorTitle="Choisir Non fait / En cours / À valider / Validé" operator="between" showDropDown="false" showErrorMessage="false" showInputMessage="false" sqref="L2:L9" type="list">
      <formula1>"Non fait,En cours,À valider,Validé"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36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3" t="s">
        <v>64</v>
      </c>
      <c r="B1" s="3" t="s">
        <v>498</v>
      </c>
      <c r="C1" s="3" t="s">
        <v>499</v>
      </c>
      <c r="D1" s="3" t="s">
        <v>500</v>
      </c>
      <c r="E1" s="3" t="s">
        <v>501</v>
      </c>
      <c r="F1" s="3" t="s">
        <v>502</v>
      </c>
      <c r="G1" s="3" t="s">
        <v>68</v>
      </c>
      <c r="H1" s="3" t="s">
        <v>503</v>
      </c>
      <c r="I1" s="3" t="s">
        <v>504</v>
      </c>
    </row>
    <row r="2" customFormat="false" ht="79.5" hidden="false" customHeight="true" outlineLevel="0" collapsed="false">
      <c r="A2" s="4" t="s">
        <v>133</v>
      </c>
      <c r="B2" s="5" t="s">
        <v>505</v>
      </c>
      <c r="C2" s="5" t="s">
        <v>506</v>
      </c>
      <c r="D2" s="5" t="s">
        <v>507</v>
      </c>
      <c r="E2" s="5" t="s">
        <v>508</v>
      </c>
      <c r="F2" s="5" t="s">
        <v>509</v>
      </c>
      <c r="G2" s="4" t="s">
        <v>510</v>
      </c>
      <c r="H2" s="5"/>
      <c r="I2" s="4"/>
    </row>
    <row r="3" customFormat="false" ht="79.5" hidden="false" customHeight="true" outlineLevel="0" collapsed="false">
      <c r="A3" s="4" t="s">
        <v>212</v>
      </c>
      <c r="B3" s="5" t="s">
        <v>511</v>
      </c>
      <c r="C3" s="5" t="s">
        <v>512</v>
      </c>
      <c r="D3" s="5" t="s">
        <v>513</v>
      </c>
      <c r="E3" s="5" t="s">
        <v>514</v>
      </c>
      <c r="F3" s="5" t="s">
        <v>515</v>
      </c>
      <c r="G3" s="4" t="s">
        <v>510</v>
      </c>
      <c r="H3" s="5"/>
      <c r="I3" s="4"/>
    </row>
    <row r="4" customFormat="false" ht="79.5" hidden="false" customHeight="true" outlineLevel="0" collapsed="false">
      <c r="A4" s="4" t="s">
        <v>205</v>
      </c>
      <c r="B4" s="5" t="s">
        <v>516</v>
      </c>
      <c r="C4" s="5" t="s">
        <v>517</v>
      </c>
      <c r="D4" s="5" t="s">
        <v>518</v>
      </c>
      <c r="E4" s="5" t="s">
        <v>519</v>
      </c>
      <c r="F4" s="5" t="s">
        <v>520</v>
      </c>
      <c r="G4" s="4" t="s">
        <v>510</v>
      </c>
      <c r="H4" s="5"/>
      <c r="I4" s="4"/>
    </row>
    <row r="5" customFormat="false" ht="79.5" hidden="false" customHeight="true" outlineLevel="0" collapsed="false">
      <c r="A5" s="4" t="s">
        <v>91</v>
      </c>
      <c r="B5" s="5" t="s">
        <v>521</v>
      </c>
      <c r="C5" s="5" t="s">
        <v>522</v>
      </c>
      <c r="D5" s="5" t="s">
        <v>523</v>
      </c>
      <c r="E5" s="5" t="s">
        <v>524</v>
      </c>
      <c r="F5" s="5" t="s">
        <v>525</v>
      </c>
      <c r="G5" s="4" t="s">
        <v>510</v>
      </c>
      <c r="H5" s="5"/>
      <c r="I5" s="4"/>
    </row>
    <row r="6" customFormat="false" ht="79.5" hidden="false" customHeight="true" outlineLevel="0" collapsed="false">
      <c r="A6" s="4" t="s">
        <v>483</v>
      </c>
      <c r="B6" s="5" t="s">
        <v>526</v>
      </c>
      <c r="C6" s="5" t="s">
        <v>527</v>
      </c>
      <c r="D6" s="5" t="s">
        <v>528</v>
      </c>
      <c r="E6" s="5" t="s">
        <v>529</v>
      </c>
      <c r="F6" s="5" t="s">
        <v>530</v>
      </c>
      <c r="G6" s="4" t="s">
        <v>510</v>
      </c>
      <c r="H6" s="5"/>
      <c r="I6" s="4"/>
    </row>
    <row r="7" customFormat="false" ht="79.5" hidden="false" customHeight="true" outlineLevel="0" collapsed="false">
      <c r="A7" s="4" t="s">
        <v>83</v>
      </c>
      <c r="B7" s="5" t="s">
        <v>75</v>
      </c>
      <c r="C7" s="5" t="s">
        <v>531</v>
      </c>
      <c r="D7" s="5" t="s">
        <v>532</v>
      </c>
      <c r="E7" s="5" t="s">
        <v>533</v>
      </c>
      <c r="F7" s="5" t="s">
        <v>534</v>
      </c>
      <c r="G7" s="4" t="s">
        <v>510</v>
      </c>
      <c r="H7" s="5"/>
      <c r="I7" s="4"/>
    </row>
    <row r="8" customFormat="false" ht="79.5" hidden="false" customHeight="true" outlineLevel="0" collapsed="false">
      <c r="A8" s="4" t="s">
        <v>116</v>
      </c>
      <c r="B8" s="5" t="s">
        <v>110</v>
      </c>
      <c r="C8" s="5" t="s">
        <v>535</v>
      </c>
      <c r="D8" s="5" t="s">
        <v>536</v>
      </c>
      <c r="E8" s="5" t="s">
        <v>537</v>
      </c>
      <c r="F8" s="5" t="s">
        <v>538</v>
      </c>
      <c r="G8" s="4" t="s">
        <v>510</v>
      </c>
      <c r="H8" s="5"/>
      <c r="I8" s="4"/>
    </row>
    <row r="9" customFormat="false" ht="79.5" hidden="false" customHeight="true" outlineLevel="0" collapsed="false">
      <c r="A9" s="4" t="s">
        <v>184</v>
      </c>
      <c r="B9" s="5" t="s">
        <v>177</v>
      </c>
      <c r="C9" s="5" t="s">
        <v>539</v>
      </c>
      <c r="D9" s="5" t="s">
        <v>540</v>
      </c>
      <c r="E9" s="5" t="s">
        <v>541</v>
      </c>
      <c r="F9" s="5" t="s">
        <v>542</v>
      </c>
      <c r="G9" s="4" t="s">
        <v>510</v>
      </c>
      <c r="H9" s="5"/>
      <c r="I9" s="4"/>
    </row>
    <row r="10" customFormat="false" ht="79.5" hidden="false" customHeight="true" outlineLevel="0" collapsed="false">
      <c r="A10" s="4" t="s">
        <v>250</v>
      </c>
      <c r="B10" s="5" t="s">
        <v>543</v>
      </c>
      <c r="C10" s="5" t="s">
        <v>544</v>
      </c>
      <c r="D10" s="5" t="s">
        <v>545</v>
      </c>
      <c r="E10" s="5" t="s">
        <v>546</v>
      </c>
      <c r="F10" s="5" t="s">
        <v>547</v>
      </c>
      <c r="G10" s="4" t="s">
        <v>510</v>
      </c>
      <c r="H10" s="5"/>
      <c r="I10" s="4"/>
    </row>
    <row r="11" customFormat="false" ht="79.5" hidden="false" customHeight="true" outlineLevel="0" collapsed="false">
      <c r="A11" s="4" t="s">
        <v>364</v>
      </c>
      <c r="B11" s="5" t="s">
        <v>548</v>
      </c>
      <c r="C11" s="5" t="s">
        <v>549</v>
      </c>
      <c r="D11" s="5" t="s">
        <v>550</v>
      </c>
      <c r="E11" s="5" t="s">
        <v>551</v>
      </c>
      <c r="F11" s="5" t="s">
        <v>552</v>
      </c>
      <c r="G11" s="4" t="s">
        <v>510</v>
      </c>
      <c r="H11" s="5"/>
      <c r="I11" s="4"/>
    </row>
    <row r="12" customFormat="false" ht="79.5" hidden="false" customHeight="true" outlineLevel="0" collapsed="false">
      <c r="A12" s="4" t="s">
        <v>418</v>
      </c>
      <c r="B12" s="5" t="s">
        <v>553</v>
      </c>
      <c r="C12" s="5" t="s">
        <v>554</v>
      </c>
      <c r="D12" s="5" t="s">
        <v>555</v>
      </c>
      <c r="E12" s="5" t="s">
        <v>556</v>
      </c>
      <c r="F12" s="5" t="s">
        <v>557</v>
      </c>
      <c r="G12" s="4" t="s">
        <v>510</v>
      </c>
      <c r="H12" s="5"/>
      <c r="I12" s="4"/>
    </row>
    <row r="13" customFormat="false" ht="79.5" hidden="false" customHeight="true" outlineLevel="0" collapsed="false">
      <c r="A13" s="4" t="s">
        <v>468</v>
      </c>
      <c r="B13" s="5" t="s">
        <v>462</v>
      </c>
      <c r="C13" s="5" t="s">
        <v>558</v>
      </c>
      <c r="D13" s="5" t="s">
        <v>559</v>
      </c>
      <c r="E13" s="5" t="s">
        <v>560</v>
      </c>
      <c r="F13" s="5" t="s">
        <v>561</v>
      </c>
      <c r="G13" s="4" t="s">
        <v>510</v>
      </c>
      <c r="H13" s="5"/>
      <c r="I13" s="4"/>
    </row>
    <row r="14" customFormat="false" ht="79.5" hidden="false" customHeight="true" outlineLevel="0" collapsed="false">
      <c r="A14" s="4" t="s">
        <v>497</v>
      </c>
      <c r="B14" s="5" t="s">
        <v>491</v>
      </c>
      <c r="C14" s="5" t="s">
        <v>562</v>
      </c>
      <c r="D14" s="5" t="s">
        <v>563</v>
      </c>
      <c r="E14" s="5" t="s">
        <v>564</v>
      </c>
      <c r="F14" s="5" t="s">
        <v>565</v>
      </c>
      <c r="G14" s="4" t="s">
        <v>510</v>
      </c>
      <c r="H14" s="5"/>
      <c r="I14" s="4"/>
    </row>
  </sheetData>
  <conditionalFormatting sqref="G2:G14">
    <cfRule type="cellIs" priority="2" operator="equal" aboveAverage="0" equalAverage="0" bottom="0" percent="0" rank="0" text="" dxfId="2">
      <formula>"Ouverte"</formula>
    </cfRule>
    <cfRule type="cellIs" priority="3" operator="equal" aboveAverage="0" equalAverage="0" bottom="0" percent="0" rank="0" text="" dxfId="0">
      <formula>"Confirmée"</formula>
    </cfRule>
    <cfRule type="cellIs" priority="4" operator="equal" aboveAverage="0" equalAverage="0" bottom="0" percent="0" rank="0" text="" dxfId="14">
      <formula>"Infirmée"</formula>
    </cfRule>
    <cfRule type="cellIs" priority="5" operator="equal" aboveAverage="0" equalAverage="0" bottom="0" percent="0" rank="0" text="" dxfId="3">
      <formula>"Ajustée"</formula>
    </cfRule>
  </conditionalFormatting>
  <dataValidations count="1">
    <dataValidation allowBlank="false" errorStyle="stop" operator="between" showDropDown="false" showErrorMessage="false" showInputMessage="false" sqref="G2:G14" type="list">
      <formula1>"Ouverte,Confirmée,Infirmée,Ajustée"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566</v>
      </c>
      <c r="B1" s="12"/>
    </row>
    <row r="2" customFormat="false" ht="15" hidden="false" customHeight="false" outlineLevel="0" collapsed="false">
      <c r="A2" s="13" t="s">
        <v>8</v>
      </c>
      <c r="B2" s="12" t="s">
        <v>567</v>
      </c>
    </row>
    <row r="3" customFormat="false" ht="15" hidden="false" customHeight="false" outlineLevel="0" collapsed="false">
      <c r="A3" s="14" t="s">
        <v>9</v>
      </c>
      <c r="B3" s="12" t="s">
        <v>568</v>
      </c>
    </row>
    <row r="4" customFormat="false" ht="15" hidden="false" customHeight="false" outlineLevel="0" collapsed="false">
      <c r="A4" s="15" t="s">
        <v>10</v>
      </c>
      <c r="B4" s="12" t="s">
        <v>569</v>
      </c>
    </row>
    <row r="5" customFormat="false" ht="15" hidden="false" customHeight="false" outlineLevel="0" collapsed="false">
      <c r="A5" s="16" t="s">
        <v>11</v>
      </c>
      <c r="B5" s="12" t="s">
        <v>570</v>
      </c>
    </row>
    <row r="6" customFormat="false" ht="15" hidden="false" customHeight="false" outlineLevel="0" collapsed="false">
      <c r="A6" s="7"/>
      <c r="B6" s="12"/>
    </row>
    <row r="7" customFormat="false" ht="15" hidden="false" customHeight="false" outlineLevel="0" collapsed="false">
      <c r="A7" s="10" t="s">
        <v>571</v>
      </c>
      <c r="B7" s="12"/>
    </row>
    <row r="8" customFormat="false" ht="15" hidden="false" customHeight="false" outlineLevel="0" collapsed="false">
      <c r="A8" s="17" t="s">
        <v>124</v>
      </c>
      <c r="B8" s="12" t="s">
        <v>572</v>
      </c>
    </row>
    <row r="9" customFormat="false" ht="15" hidden="false" customHeight="false" outlineLevel="0" collapsed="false">
      <c r="A9" s="18" t="s">
        <v>26</v>
      </c>
      <c r="B9" s="12" t="s">
        <v>573</v>
      </c>
    </row>
    <row r="10" customFormat="false" ht="15" hidden="false" customHeight="false" outlineLevel="0" collapsed="false">
      <c r="A10" s="19" t="s">
        <v>81</v>
      </c>
      <c r="B10" s="12" t="s">
        <v>574</v>
      </c>
    </row>
    <row r="11" customFormat="false" ht="15" hidden="false" customHeight="false" outlineLevel="0" collapsed="false">
      <c r="A11" s="7"/>
      <c r="B11" s="12"/>
    </row>
    <row r="12" customFormat="false" ht="15" hidden="false" customHeight="false" outlineLevel="0" collapsed="false">
      <c r="A12" s="10" t="s">
        <v>575</v>
      </c>
      <c r="B12" s="12"/>
    </row>
    <row r="13" customFormat="false" ht="15" hidden="false" customHeight="false" outlineLevel="0" collapsed="false">
      <c r="A13" s="20" t="s">
        <v>576</v>
      </c>
      <c r="B13" s="12" t="s">
        <v>577</v>
      </c>
    </row>
    <row r="14" customFormat="false" ht="15" hidden="false" customHeight="false" outlineLevel="0" collapsed="false">
      <c r="A14" s="20" t="s">
        <v>578</v>
      </c>
      <c r="B14" s="12" t="s">
        <v>579</v>
      </c>
    </row>
    <row r="15" customFormat="false" ht="15" hidden="false" customHeight="false" outlineLevel="0" collapsed="false">
      <c r="A15" s="20" t="s">
        <v>580</v>
      </c>
      <c r="B15" s="12" t="s">
        <v>581</v>
      </c>
    </row>
    <row r="16" customFormat="false" ht="15" hidden="false" customHeight="false" outlineLevel="0" collapsed="false">
      <c r="A16" s="20" t="s">
        <v>582</v>
      </c>
      <c r="B16" s="12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2026-10-29T15:23:58Z</dcterms:created>
  <dc:creator>openpyxl</dc:creator>
  <dc:description/>
  <dc:language>fr-MA</dc:language>
  <cp:lastModifiedBy/>
  <dcterms:modified xsi:type="dcterms:W3CDTF">2026-10-29T15:23:58Z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